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Estudos Simulação GRUNNER\"/>
    </mc:Choice>
  </mc:AlternateContent>
  <xr:revisionPtr revIDLastSave="0" documentId="13_ncr:1_{3C51C7A5-D9B0-4D31-80EA-D5B19A775E21}" xr6:coauthVersionLast="47" xr6:coauthVersionMax="47" xr10:uidLastSave="{00000000-0000-0000-0000-000000000000}"/>
  <bookViews>
    <workbookView xWindow="-20610" yWindow="1725" windowWidth="20730" windowHeight="11760" tabRatio="500" activeTab="1" xr2:uid="{00000000-000D-0000-FFFF-FFFF00000000}"/>
  </bookViews>
  <sheets>
    <sheet name="Parâmetros" sheetId="1" r:id="rId1"/>
    <sheet name="Cenários" sheetId="2" r:id="rId2"/>
    <sheet name="Sensibilidade" sheetId="3" r:id="rId3"/>
    <sheet name="Notas técnica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3" l="1"/>
  <c r="J8" i="3"/>
  <c r="I8" i="3"/>
  <c r="H8" i="3"/>
  <c r="G8" i="3"/>
  <c r="F8" i="3"/>
  <c r="E8" i="3"/>
  <c r="D8" i="3"/>
  <c r="C8" i="3"/>
  <c r="E32" i="1"/>
  <c r="D32" i="1"/>
  <c r="K15" i="2" s="1"/>
  <c r="E31" i="1"/>
  <c r="D31" i="1"/>
  <c r="E30" i="1"/>
  <c r="D30" i="1"/>
  <c r="E29" i="1"/>
  <c r="D29" i="1"/>
  <c r="E28" i="1"/>
  <c r="D28" i="1"/>
  <c r="D27" i="1"/>
  <c r="D26" i="1"/>
  <c r="C25" i="1"/>
  <c r="C24" i="1"/>
  <c r="C19" i="1"/>
  <c r="K19" i="2"/>
  <c r="J19" i="2"/>
  <c r="I19" i="2"/>
  <c r="H19" i="2"/>
  <c r="G19" i="2"/>
  <c r="F19" i="2"/>
  <c r="E19" i="2"/>
  <c r="D19" i="2"/>
  <c r="C19" i="2"/>
  <c r="K17" i="2"/>
  <c r="K18" i="2" s="1"/>
  <c r="J17" i="2"/>
  <c r="J18" i="2" s="1"/>
  <c r="I17" i="2"/>
  <c r="I18" i="2" s="1"/>
  <c r="H17" i="2"/>
  <c r="H18" i="2" s="1"/>
  <c r="G17" i="2"/>
  <c r="G18" i="2" s="1"/>
  <c r="F17" i="2"/>
  <c r="F18" i="2" s="1"/>
  <c r="E17" i="2"/>
  <c r="E18" i="2" s="1"/>
  <c r="D17" i="2"/>
  <c r="D18" i="2" s="1"/>
  <c r="C17" i="2"/>
  <c r="C18" i="2" s="1"/>
  <c r="K16" i="2"/>
  <c r="J16" i="2"/>
  <c r="I16" i="2"/>
  <c r="H16" i="2"/>
  <c r="G16" i="2"/>
  <c r="F16" i="2"/>
  <c r="E16" i="2"/>
  <c r="D16" i="2"/>
  <c r="C16" i="2"/>
  <c r="J15" i="2"/>
  <c r="I15" i="2"/>
  <c r="H15" i="2"/>
  <c r="G15" i="2"/>
  <c r="F15" i="2"/>
  <c r="E15" i="2"/>
  <c r="D15" i="2"/>
  <c r="C15" i="2"/>
  <c r="K14" i="2"/>
  <c r="J14" i="2"/>
  <c r="I14" i="2"/>
  <c r="H14" i="2"/>
  <c r="G14" i="2"/>
  <c r="F14" i="2"/>
  <c r="E14" i="2"/>
  <c r="D14" i="2"/>
  <c r="C14" i="2"/>
  <c r="G11" i="2"/>
  <c r="F11" i="2"/>
  <c r="E11" i="2"/>
  <c r="D11" i="2"/>
  <c r="C11" i="2"/>
  <c r="K10" i="2"/>
  <c r="K11" i="2" s="1"/>
  <c r="J10" i="2"/>
  <c r="J11" i="2" s="1"/>
  <c r="I10" i="2"/>
  <c r="I11" i="2" s="1"/>
  <c r="H10" i="2"/>
  <c r="H11" i="2" s="1"/>
  <c r="G10" i="2"/>
  <c r="F10" i="2"/>
  <c r="E10" i="2"/>
  <c r="D10" i="2"/>
  <c r="C10" i="2"/>
  <c r="K9" i="2"/>
  <c r="J9" i="2"/>
  <c r="I9" i="2"/>
  <c r="H9" i="2"/>
  <c r="G9" i="2"/>
  <c r="F9" i="2"/>
  <c r="E9" i="2"/>
  <c r="D9" i="2"/>
  <c r="C9" i="2"/>
  <c r="K8" i="2"/>
  <c r="J8" i="2"/>
  <c r="I8" i="2"/>
  <c r="H8" i="2"/>
  <c r="G8" i="2"/>
  <c r="F8" i="2"/>
  <c r="E8" i="2"/>
  <c r="D8" i="2"/>
  <c r="C8" i="2"/>
  <c r="K7" i="2"/>
  <c r="J7" i="2"/>
  <c r="I7" i="2"/>
  <c r="H7" i="2"/>
  <c r="G7" i="2"/>
  <c r="F7" i="2"/>
  <c r="E7" i="2"/>
  <c r="D7" i="2"/>
  <c r="C7" i="2"/>
  <c r="H20" i="2" l="1"/>
  <c r="B3" i="2"/>
  <c r="D20" i="2"/>
  <c r="F20" i="2"/>
  <c r="I20" i="2"/>
  <c r="K20" i="2"/>
  <c r="J20" i="2"/>
  <c r="E20" i="2"/>
  <c r="C20" i="2"/>
  <c r="G20" i="2"/>
  <c r="G14" i="3"/>
  <c r="G23" i="2"/>
  <c r="F23" i="2"/>
  <c r="F14" i="3"/>
  <c r="E23" i="2"/>
  <c r="E14" i="3"/>
  <c r="D23" i="2"/>
  <c r="D14" i="3"/>
  <c r="C23" i="2"/>
  <c r="C14" i="3"/>
  <c r="K14" i="3"/>
  <c r="K23" i="2"/>
  <c r="J23" i="2"/>
  <c r="J14" i="3"/>
  <c r="I14" i="3"/>
  <c r="I23" i="2"/>
  <c r="H14" i="3"/>
  <c r="H23" i="2"/>
  <c r="G15" i="3" l="1"/>
  <c r="G24" i="2"/>
  <c r="G26" i="2" s="1"/>
  <c r="G16" i="3" s="1"/>
  <c r="G25" i="2"/>
  <c r="F24" i="2"/>
  <c r="F25" i="2"/>
  <c r="F15" i="3"/>
  <c r="E24" i="2"/>
  <c r="E26" i="2" s="1"/>
  <c r="E25" i="2"/>
  <c r="E15" i="3"/>
  <c r="E16" i="3"/>
  <c r="D24" i="2"/>
  <c r="D26" i="2" s="1"/>
  <c r="D16" i="3" s="1"/>
  <c r="D25" i="2"/>
  <c r="D15" i="3"/>
  <c r="C24" i="2"/>
  <c r="C25" i="2"/>
  <c r="C15" i="3"/>
  <c r="K15" i="3"/>
  <c r="K24" i="2"/>
  <c r="K25" i="2"/>
  <c r="J24" i="2"/>
  <c r="J25" i="2"/>
  <c r="J15" i="3"/>
  <c r="I15" i="3"/>
  <c r="I24" i="2"/>
  <c r="I25" i="2"/>
  <c r="H15" i="3"/>
  <c r="H24" i="2"/>
  <c r="H25" i="2"/>
  <c r="G29" i="2" l="1"/>
  <c r="G9" i="3"/>
  <c r="E9" i="3"/>
  <c r="E29" i="2"/>
  <c r="D29" i="2"/>
  <c r="D9" i="3"/>
  <c r="C26" i="2"/>
  <c r="K26" i="2"/>
  <c r="J26" i="2"/>
  <c r="H26" i="2"/>
  <c r="F26" i="2"/>
  <c r="I26" i="2"/>
  <c r="G37" i="2" l="1"/>
  <c r="G36" i="2"/>
  <c r="G30" i="2"/>
  <c r="G31" i="2" s="1"/>
  <c r="G32" i="2" s="1"/>
  <c r="G33" i="2" s="1"/>
  <c r="G38" i="2" s="1"/>
  <c r="G11" i="3"/>
  <c r="G10" i="3"/>
  <c r="G19" i="3" s="1"/>
  <c r="E11" i="3"/>
  <c r="E10" i="3"/>
  <c r="E19" i="3" s="1"/>
  <c r="E37" i="2"/>
  <c r="E36" i="2"/>
  <c r="E30" i="2"/>
  <c r="E31" i="2" s="1"/>
  <c r="E32" i="2" s="1"/>
  <c r="E33" i="2" s="1"/>
  <c r="E38" i="2" s="1"/>
  <c r="D37" i="2"/>
  <c r="D36" i="2"/>
  <c r="D30" i="2"/>
  <c r="D31" i="2" s="1"/>
  <c r="D32" i="2" s="1"/>
  <c r="D33" i="2" s="1"/>
  <c r="D38" i="2" s="1"/>
  <c r="D11" i="3"/>
  <c r="D10" i="3"/>
  <c r="D19" i="3" s="1"/>
  <c r="C9" i="3"/>
  <c r="C29" i="2"/>
  <c r="C16" i="3"/>
  <c r="K9" i="3"/>
  <c r="K29" i="2"/>
  <c r="K16" i="3"/>
  <c r="J9" i="3"/>
  <c r="J29" i="2"/>
  <c r="J16" i="3"/>
  <c r="H9" i="3"/>
  <c r="H29" i="2"/>
  <c r="H16" i="3"/>
  <c r="F9" i="3"/>
  <c r="F29" i="2"/>
  <c r="F16" i="3"/>
  <c r="I9" i="3"/>
  <c r="I29" i="2"/>
  <c r="I16" i="3"/>
  <c r="G45" i="2" l="1"/>
  <c r="G46" i="2" s="1"/>
  <c r="G39" i="2"/>
  <c r="G40" i="2"/>
  <c r="G20" i="3"/>
  <c r="G21" i="3"/>
  <c r="G22" i="3"/>
  <c r="E20" i="3"/>
  <c r="E21" i="3"/>
  <c r="E22" i="3"/>
  <c r="E45" i="2"/>
  <c r="E46" i="2" s="1"/>
  <c r="E39" i="2"/>
  <c r="E40" i="2"/>
  <c r="D45" i="2"/>
  <c r="D46" i="2" s="1"/>
  <c r="D39" i="2"/>
  <c r="D40" i="2"/>
  <c r="D20" i="3"/>
  <c r="D21" i="3"/>
  <c r="D22" i="3"/>
  <c r="C10" i="3"/>
  <c r="C19" i="3" s="1"/>
  <c r="C11" i="3"/>
  <c r="C37" i="2"/>
  <c r="C36" i="2"/>
  <c r="C30" i="2"/>
  <c r="C31" i="2" s="1"/>
  <c r="C32" i="2" s="1"/>
  <c r="C33" i="2" s="1"/>
  <c r="C38" i="2" s="1"/>
  <c r="K11" i="3"/>
  <c r="K10" i="3"/>
  <c r="K19" i="3" s="1"/>
  <c r="K37" i="2"/>
  <c r="K36" i="2"/>
  <c r="K30" i="2"/>
  <c r="K31" i="2" s="1"/>
  <c r="K32" i="2" s="1"/>
  <c r="K33" i="2" s="1"/>
  <c r="K38" i="2" s="1"/>
  <c r="J11" i="3"/>
  <c r="J10" i="3"/>
  <c r="J19" i="3" s="1"/>
  <c r="J37" i="2"/>
  <c r="J36" i="2"/>
  <c r="J30" i="2"/>
  <c r="J31" i="2" s="1"/>
  <c r="J32" i="2" s="1"/>
  <c r="J33" i="2" s="1"/>
  <c r="J38" i="2" s="1"/>
  <c r="H11" i="3"/>
  <c r="H10" i="3"/>
  <c r="H19" i="3" s="1"/>
  <c r="H30" i="2"/>
  <c r="H31" i="2" s="1"/>
  <c r="H32" i="2" s="1"/>
  <c r="H33" i="2" s="1"/>
  <c r="H37" i="2"/>
  <c r="H36" i="2"/>
  <c r="F10" i="3"/>
  <c r="F19" i="3" s="1"/>
  <c r="F11" i="3"/>
  <c r="F37" i="2"/>
  <c r="F36" i="2"/>
  <c r="F30" i="2"/>
  <c r="F31" i="2" s="1"/>
  <c r="F32" i="2" s="1"/>
  <c r="F33" i="2" s="1"/>
  <c r="F38" i="2" s="1"/>
  <c r="I10" i="3"/>
  <c r="I19" i="3" s="1"/>
  <c r="I11" i="3"/>
  <c r="I30" i="2"/>
  <c r="I31" i="2" s="1"/>
  <c r="I37" i="2"/>
  <c r="I36" i="2"/>
  <c r="I32" i="2"/>
  <c r="I33" i="2" s="1"/>
  <c r="G41" i="2" l="1"/>
  <c r="E41" i="2"/>
  <c r="E42" i="2"/>
  <c r="G42" i="2"/>
  <c r="C20" i="3"/>
  <c r="C21" i="3"/>
  <c r="C22" i="3"/>
  <c r="C41" i="2"/>
  <c r="C42" i="2"/>
  <c r="C45" i="2"/>
  <c r="C46" i="2" s="1"/>
  <c r="C39" i="2"/>
  <c r="C40" i="2"/>
  <c r="K20" i="3"/>
  <c r="K21" i="3"/>
  <c r="K22" i="3"/>
  <c r="K41" i="2"/>
  <c r="K42" i="2"/>
  <c r="K45" i="2"/>
  <c r="K46" i="2" s="1"/>
  <c r="K39" i="2"/>
  <c r="K40" i="2"/>
  <c r="J20" i="3"/>
  <c r="J21" i="3"/>
  <c r="J22" i="3"/>
  <c r="J41" i="2"/>
  <c r="J42" i="2"/>
  <c r="J45" i="2"/>
  <c r="J46" i="2" s="1"/>
  <c r="J40" i="2"/>
  <c r="J39" i="2"/>
  <c r="H20" i="3"/>
  <c r="H21" i="3"/>
  <c r="H22" i="3"/>
  <c r="H41" i="2"/>
  <c r="H42" i="2"/>
  <c r="H45" i="2"/>
  <c r="H46" i="2" s="1"/>
  <c r="F20" i="3"/>
  <c r="F21" i="3"/>
  <c r="F22" i="3"/>
  <c r="F41" i="2"/>
  <c r="F42" i="2"/>
  <c r="F45" i="2"/>
  <c r="F46" i="2" s="1"/>
  <c r="F39" i="2"/>
  <c r="F40" i="2"/>
  <c r="I20" i="3"/>
  <c r="I21" i="3"/>
  <c r="I22" i="3"/>
  <c r="I41" i="2"/>
  <c r="I42" i="2"/>
  <c r="I45" i="2"/>
  <c r="I46" i="2" s="1"/>
  <c r="H38" i="2"/>
  <c r="I38" i="2"/>
  <c r="D41" i="2"/>
  <c r="D42" i="2"/>
  <c r="H40" i="2" l="1"/>
  <c r="H39" i="2"/>
  <c r="I40" i="2"/>
  <c r="I39" i="2"/>
</calcChain>
</file>

<file path=xl/sharedStrings.xml><?xml version="1.0" encoding="utf-8"?>
<sst xmlns="http://schemas.openxmlformats.org/spreadsheetml/2006/main" count="156" uniqueCount="124">
  <si>
    <t>CBS/IBS NA BASE DO ICMS — SIMULADOR DE TRANSIÇÃO</t>
  </si>
  <si>
    <t>MGK Assessoria e Auditoria | jul/2026 | Preencha apenas as células em AZUL</t>
  </si>
  <si>
    <t>1. PREMISSAS COMERCIAIS</t>
  </si>
  <si>
    <t>Custo do produto (R$)</t>
  </si>
  <si>
    <t>Preço líquido-alvo (vMerc) = Custo x (1 + Margem) - Desconto</t>
  </si>
  <si>
    <t>Margem sobre o custo (%)</t>
  </si>
  <si>
    <t>Desconto incondicional (R$)</t>
  </si>
  <si>
    <t>2. ALÍQUOTAS DE REFERÊNCIA</t>
  </si>
  <si>
    <t>PIS/COFINS — regime não cumulativo</t>
  </si>
  <si>
    <t>LC 10.637/02 e 10.833/03. Base já expurgada do ICMS (STF Tema 69).</t>
  </si>
  <si>
    <t>CBS — alíquota de referência</t>
  </si>
  <si>
    <t>Estimativa oficial de referência. ⚠️ ainda não fixada em resolução do Senado.</t>
  </si>
  <si>
    <t>IBS — alíquota de referência</t>
  </si>
  <si>
    <t>Estimativa oficial de referência (estadual + municipal). ⚠️</t>
  </si>
  <si>
    <t>ICMS — alíquota nominal interna</t>
  </si>
  <si>
    <t>Ajuste conforme UF/produto. ICMS é calculado 'por dentro' (LC 87/96, art. 13, §1º, I).</t>
  </si>
  <si>
    <t>Redução da CBS em 2027-2028 (p.p.)</t>
  </si>
  <si>
    <t>LC 214/2025, art. 347: CBS 2027-2028 = alíquota de referência − 0,1 p.p. ✅ confirmado no texto compilado.</t>
  </si>
  <si>
    <t>3. CHAVE DE CENÁRIO JURÍDICO</t>
  </si>
  <si>
    <t>IBS e CBS integram a base de cálculo do ICMS?</t>
  </si>
  <si>
    <t>Tese do Fisco (INCLUI)</t>
  </si>
  <si>
    <t>RC SEFAZ/SP 32.303/2025: inclui a partir de 2027; não inclui em 2026. PLP 16/2025 propõe a exclusão expressa.</t>
  </si>
  <si>
    <t>Chave numérica (automática)</t>
  </si>
  <si>
    <t>4. MATRIZ DE ALÍQUOTAS POR ANO DA TRANSIÇÃO</t>
  </si>
  <si>
    <t>Ano / Cenário</t>
  </si>
  <si>
    <t>PIS/COFINS</t>
  </si>
  <si>
    <t>CBS</t>
  </si>
  <si>
    <t>IBS</t>
  </si>
  <si>
    <t>% do ICMS
vigente</t>
  </si>
  <si>
    <t>CBS/IBS
oneram preço</t>
  </si>
  <si>
    <t>CBS/IBS na base
do ICMS (ano)</t>
  </si>
  <si>
    <t>Hoje (2025)</t>
  </si>
  <si>
    <t>2026 (teste)</t>
  </si>
  <si>
    <t>2027</t>
  </si>
  <si>
    <t>2028</t>
  </si>
  <si>
    <t>2029</t>
  </si>
  <si>
    <t>2030</t>
  </si>
  <si>
    <t>2031</t>
  </si>
  <si>
    <t>2032</t>
  </si>
  <si>
    <t>2033</t>
  </si>
  <si>
    <t>✅ 2029-2032: a repartição ICMS × IBS (9/10, 8/10, 7/10, 6/10 do ICMS; 10/20/30/40% do IBS de referência) foi CONFIRMADA contra o texto compilado da LC 214/2025 (com LC 227/2026) — é o cronograma legal (ADCT, arts. 128/129; LC 214, arts. 343/344), não simplificação.</t>
  </si>
  <si>
    <t>Todas as células azuis desta matriz são editáveis — ajuste conforme a alíquota real da UF, do produto e da tese adotada.</t>
  </si>
  <si>
    <t>Fonte dos valores comerciais (custo 135,30 e margem 10%): fornecidos pelo usuário na planilha original.</t>
  </si>
  <si>
    <t>LINHA DE CÁLCULO POR ANO DA TRANSIÇÃO</t>
  </si>
  <si>
    <t>PREMISSAS</t>
  </si>
  <si>
    <t>Custo do produto</t>
  </si>
  <si>
    <t>Margem</t>
  </si>
  <si>
    <t>Preço líquido-alvo (vMerc)</t>
  </si>
  <si>
    <t>(-) Desconto incondicional</t>
  </si>
  <si>
    <t>(=) BASE LÍQUIDA — receita que o vendedor quer manter</t>
  </si>
  <si>
    <t>PARÂMETROS APLICADOS AO ANO</t>
  </si>
  <si>
    <t xml:space="preserve">   Alíquota PIS/COFINS</t>
  </si>
  <si>
    <t xml:space="preserve">   Alíquota CBS</t>
  </si>
  <si>
    <t xml:space="preserve">   Alíquota IBS</t>
  </si>
  <si>
    <t xml:space="preserve">   % do ICMS vigente</t>
  </si>
  <si>
    <t xml:space="preserve">   Alíquota ICMS efetiva</t>
  </si>
  <si>
    <t xml:space="preserve">   CBS/IBS oneram o preço (1/0)</t>
  </si>
  <si>
    <t xml:space="preserve">   CBS/IBS na base do ICMS (1/0)</t>
  </si>
  <si>
    <t>NOVOS TRIBUTOS (cálculo POR FORA — LC 214/2025, art. 12)</t>
  </si>
  <si>
    <t xml:space="preserve">   Base de cálculo CBS/IBS</t>
  </si>
  <si>
    <t xml:space="preserve">   CBS destacada</t>
  </si>
  <si>
    <t xml:space="preserve">   IBS destacado</t>
  </si>
  <si>
    <t>(=) CBS + IBS</t>
  </si>
  <si>
    <t>TRIBUTOS DO REGIME ATUAL (cálculo POR DENTRO)</t>
  </si>
  <si>
    <t>vProd (valor do produto no XML)</t>
  </si>
  <si>
    <t xml:space="preserve">   Base de cálculo do ICMS</t>
  </si>
  <si>
    <t xml:space="preserve">   ICMS</t>
  </si>
  <si>
    <t xml:space="preserve">   Base de cálculo PIS/COFINS (ex-ICMS)</t>
  </si>
  <si>
    <t xml:space="preserve">   PIS/COFINS</t>
  </si>
  <si>
    <t>RESULTADO DA OPERAÇÃO</t>
  </si>
  <si>
    <t>vProd (XML)</t>
  </si>
  <si>
    <t>TOTAL DA NOTA / preço ao consumidor final</t>
  </si>
  <si>
    <t>Carga tributária total (R$)</t>
  </si>
  <si>
    <t>Carga sobre o total da nota</t>
  </si>
  <si>
    <t>Carga sobre a base líquida</t>
  </si>
  <si>
    <t>Δ do preço final vs. hoje (R$)</t>
  </si>
  <si>
    <t>Δ do preço final vs. hoje (%)</t>
  </si>
  <si>
    <t>CONTROLES</t>
  </si>
  <si>
    <t>Receita líquida realizada (deve igualar a base líquida)</t>
  </si>
  <si>
    <t>Diferença (deve ser 0,00)</t>
  </si>
  <si>
    <t>TESE DO FISCO x TESE DO CONTRIBUINTE — IMPACTO ISOLADO</t>
  </si>
  <si>
    <t>Compara as duas hipóteses simultaneamente, independentemente da chave escolhida na aba Parâmetros.</t>
  </si>
  <si>
    <t>A) TESE DO FISCO — IBS/CBS INTEGRAM A BASE DO ICMS</t>
  </si>
  <si>
    <t xml:space="preserve">   Inclui? (1/0)</t>
  </si>
  <si>
    <t xml:space="preserve">   vProd</t>
  </si>
  <si>
    <t>Total da nota</t>
  </si>
  <si>
    <t>B) TESE DO CONTRIBUINTE — IBS/CBS FORA DA BASE DO ICMS</t>
  </si>
  <si>
    <t>C) IMPACTO DA CONTROVÉRSIA</t>
  </si>
  <si>
    <t>ICMS a mais na tese do Fisco (R$)</t>
  </si>
  <si>
    <t>Preço final a mais (R$)</t>
  </si>
  <si>
    <t>Preço final a mais (%)</t>
  </si>
  <si>
    <t>Impacto anual sobre faturamento de R$ 1.000.000 (R$)</t>
  </si>
  <si>
    <t>A linha 22 dimensiona o passivo/contingência: aplique o percentual da linha 21 ao faturamento anual efetivo da operação.</t>
  </si>
  <si>
    <t>NOTAS TÉCNICAS E FUNDAMENTOS</t>
  </si>
  <si>
    <t>Classificação de confiança (método MGK): ✅ confirmado em norma publicada | ⚠️ modelo operacional ainda não codificado | ⛔ em aberto</t>
  </si>
  <si>
    <t>Tema</t>
  </si>
  <si>
    <t>Grau</t>
  </si>
  <si>
    <t>Fundamento e observação</t>
  </si>
  <si>
    <t>IBS/CBS por fora</t>
  </si>
  <si>
    <t>✅</t>
  </si>
  <si>
    <t>LC 214/2025, art. 12 e CF art. 156-A, §1º, IX: IBS e CBS não integram a própria base nem a base um do outro. Por isso a base dos novos tributos é o preço líquido, sem ICMS/PIS/COFINS.</t>
  </si>
  <si>
    <t>Tributos antigos fora da base dos novos</t>
  </si>
  <si>
    <t>ADCT (EC 132/2023): ICMS, ISS, IPI, PIS e COFINS não integram a base de cálculo do IBS e da CBS.</t>
  </si>
  <si>
    <t>IBS/CBS na base do ICMS</t>
  </si>
  <si>
    <t>⛔</t>
  </si>
  <si>
    <t>CONTROVÉRSIA CENTRAL. A EC 132 não repetiu a vedação recíproca. SEFAZ/SP (RC 32.303/2025) sustenta que IBS e CBS compõem a base do ICMS a partir de 2027, por integrarem o valor total cobrado do adquirente (LC 87/96, art. 13). Em 2026 não integram, pois PIS/COFINS permanecem integrais na base. Entidades (FecomercioSP, ABAT) e boa parte da doutrina defendem o oposto, por analogia ao Tema 69 do STF.</t>
  </si>
  <si>
    <t>PLP 16/2025</t>
  </si>
  <si>
    <t>⚠️</t>
  </si>
  <si>
    <t>Propõe alterar a LC 87/96 e a LC 214/2025 para vedar expressamente a inclusão de IBS/CBS nas bases de ICMS, ISS e IPI. Em tramitação na Câmara. Se aprovado após 2027, abre-se a discussão sobre natureza interpretativa ou modificativa.</t>
  </si>
  <si>
    <t>Ano-teste 2026</t>
  </si>
  <si>
    <t>Alíquotas de 0,9% (CBS) e 0,1% (IBS), compensáveis com PIS/COFINS e com recolhimento dispensado ao contribuinte que cumprir as obrigações acessórias (LC 214/2025, arts. 343, 346 e 348). Por isso a matriz marca 'onera preço = 0' em 2026: o destaque é informativo.</t>
  </si>
  <si>
    <t>Marco de 1º/08/2026</t>
  </si>
  <si>
    <t>Emissão obrigatória de documento fiscal com destaque de IBS/CBS (art. 619 do Decreto 12.955/2026 e art. 617 da Resolução CGIBS 6/2026). Multa de 1% do valor da operação.</t>
  </si>
  <si>
    <t>Redução da CBS em 2027-2028</t>
  </si>
  <si>
    <t>A alíquota da CBS é reduzida em 0,1 p.p. em 2027 e 2028 para compensar a alíquota-teste do IBS. Confirmar o dispositivo antes de uso externo; o parâmetro está isolado na célula C15 da aba Parâmetros.</t>
  </si>
  <si>
    <t>Alíquotas de referência</t>
  </si>
  <si>
    <t>CBS 8,8% e IBS 17,7% são estimativas; as alíquotas de referência serão fixadas por resolução do Senado. Trate como premissa, nunca como dado.</t>
  </si>
  <si>
    <t>Transição 2029-2032</t>
  </si>
  <si>
    <t>ICMS e ISS reduzidos a 9/10, 8/10, 7/10 e 6/10 (ADCT art. 128), com elevação correspondente do IBS. A repartição adotada na matriz é uma simplificação linear — ajuste quando as alíquotas de referência forem publicadas.</t>
  </si>
  <si>
    <t>PIS/COFINS ex-ICMS</t>
  </si>
  <si>
    <t>A base de PIS/COFINS do cenário 'Hoje' já exclui o ICMS (STF, RE 574.706, Tema 69), o que a planilha original captura corretamente.</t>
  </si>
  <si>
    <t>Neutralidade para contribuinte</t>
  </si>
  <si>
    <t>Para adquirente com direito a crédito integral, o custo líquido é o mesmo em todos os cenários. A controvérsia da base do ICMS afeta caixa, preço ao consumidor final e adquirentes sem crédito (Simples, imunes, consumidor final).</t>
  </si>
  <si>
    <t>MGK Assessoria e Auditoria | jul/2026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</si>
</sst>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0.0%"/>
    <numFmt numFmtId="166" formatCode="&quot;R$ &quot;#,##0"/>
  </numFmts>
  <fonts count="18" x14ac:knownFonts="1">
    <font>
      <sz val="11"/>
      <color theme="1"/>
      <name val="Calibri"/>
      <family val="2"/>
      <charset val="1"/>
    </font>
    <font>
      <b/>
      <sz val="14"/>
      <color rgb="FF152445"/>
      <name val="Arial"/>
      <charset val="1"/>
    </font>
    <font>
      <sz val="9"/>
      <color rgb="FF263A6A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9"/>
      <color rgb="FF808080"/>
      <name val="Arial"/>
      <charset val="1"/>
    </font>
    <font>
      <sz val="10"/>
      <color rgb="FF80808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FF"/>
      <name val="Arial"/>
      <charset val="1"/>
    </font>
    <font>
      <b/>
      <sz val="9"/>
      <color rgb="FF9C2251"/>
      <name val="Arial"/>
      <charset val="1"/>
    </font>
    <font>
      <b/>
      <sz val="10"/>
      <color rgb="FFFF4D31"/>
      <name val="Arial"/>
      <charset val="1"/>
    </font>
    <font>
      <b/>
      <sz val="9"/>
      <color rgb="FFFF4D31"/>
      <name val="Arial"/>
      <charset val="1"/>
    </font>
    <font>
      <b/>
      <sz val="9"/>
      <color rgb="FF152445"/>
      <name val="Arial"/>
      <charset val="1"/>
    </font>
    <font>
      <b/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52445"/>
        <bgColor rgb="FF333333"/>
      </patternFill>
    </fill>
    <fill>
      <patternFill patternType="solid">
        <fgColor rgb="FFFFF9D6"/>
        <bgColor rgb="FFF5F7FA"/>
      </patternFill>
    </fill>
    <fill>
      <patternFill patternType="solid">
        <fgColor rgb="FF263A6A"/>
        <bgColor rgb="FF333333"/>
      </patternFill>
    </fill>
    <fill>
      <patternFill patternType="solid">
        <fgColor rgb="FFF5F7FA"/>
        <bgColor rgb="FFFFFFFF"/>
      </patternFill>
    </fill>
    <fill>
      <patternFill patternType="solid">
        <fgColor rgb="FFEAEEF5"/>
        <bgColor rgb="FFF5F7FA"/>
      </patternFill>
    </fill>
    <fill>
      <patternFill patternType="solid">
        <fgColor rgb="FFFFE3DC"/>
        <bgColor rgb="FFEAEEF5"/>
      </patternFill>
    </fill>
  </fills>
  <borders count="2">
    <border>
      <left/>
      <right/>
      <top/>
      <bottom/>
      <diagonal/>
    </border>
    <border>
      <left style="thin">
        <color rgb="FFBFC7D4"/>
      </left>
      <right style="thin">
        <color rgb="FFBFC7D4"/>
      </right>
      <top style="thin">
        <color rgb="FFBFC7D4"/>
      </top>
      <bottom style="thin">
        <color rgb="FFBFC7D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/>
    <xf numFmtId="0" fontId="4" fillId="0" borderId="0" xfId="0" applyFont="1"/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3" borderId="1" xfId="0" applyFont="1" applyFill="1" applyBorder="1" applyAlignment="1">
      <alignment horizontal="center" vertical="center"/>
    </xf>
    <xf numFmtId="0" fontId="7" fillId="0" borderId="0" xfId="0" applyFont="1"/>
    <xf numFmtId="1" fontId="8" fillId="0" borderId="0" xfId="0" applyNumberFormat="1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/>
    <xf numFmtId="10" fontId="11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4" fillId="4" borderId="0" xfId="0" applyFont="1" applyFill="1"/>
    <xf numFmtId="0" fontId="11" fillId="0" borderId="1" xfId="0" applyFont="1" applyBorder="1"/>
    <xf numFmtId="16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/>
    <xf numFmtId="164" fontId="10" fillId="6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1" fontId="15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16" fillId="7" borderId="1" xfId="0" applyFont="1" applyFill="1" applyBorder="1"/>
    <xf numFmtId="164" fontId="16" fillId="7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164" fontId="13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3" fillId="7" borderId="1" xfId="0" applyFont="1" applyFill="1" applyBorder="1"/>
    <xf numFmtId="164" fontId="13" fillId="7" borderId="1" xfId="0" applyNumberFormat="1" applyFont="1" applyFill="1" applyBorder="1" applyAlignment="1">
      <alignment horizontal="center" vertical="center"/>
    </xf>
    <xf numFmtId="10" fontId="13" fillId="7" borderId="1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166" fontId="16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4"/>
      <rgbColor rgb="FF808080"/>
      <rgbColor rgb="FF9999FF"/>
      <rgbColor rgb="FF9C2251"/>
      <rgbColor rgb="FFFFF9D6"/>
      <rgbColor rgb="FFEA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E3DC"/>
      <rgbColor rgb="FF3366FF"/>
      <rgbColor rgb="FF33CCCC"/>
      <rgbColor rgb="FF99CC00"/>
      <rgbColor rgb="FFFFCC00"/>
      <rgbColor rgb="FFFF9900"/>
      <rgbColor rgb="FFFF4D31"/>
      <rgbColor rgb="FF666699"/>
      <rgbColor rgb="FF969696"/>
      <rgbColor rgb="FF152445"/>
      <rgbColor rgb="FF339966"/>
      <rgbColor rgb="FF003300"/>
      <rgbColor rgb="FF333300"/>
      <rgbColor rgb="FF993300"/>
      <rgbColor rgb="FF993366"/>
      <rgbColor rgb="FF263A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showGridLines="0" topLeftCell="A12" zoomScaleNormal="100" workbookViewId="0">
      <selection activeCell="E19" sqref="E19"/>
    </sheetView>
  </sheetViews>
  <sheetFormatPr defaultColWidth="8.6640625" defaultRowHeight="14.4" x14ac:dyDescent="0.3"/>
  <cols>
    <col min="1" max="1" width="2" customWidth="1"/>
    <col min="2" max="2" width="46" customWidth="1"/>
    <col min="3" max="3" width="21.5546875" customWidth="1"/>
    <col min="4" max="8" width="15" customWidth="1"/>
    <col min="9" max="9" width="60" customWidth="1"/>
  </cols>
  <sheetData>
    <row r="2" spans="2:9" ht="17.25" customHeight="1" x14ac:dyDescent="0.3">
      <c r="B2" s="1" t="s">
        <v>0</v>
      </c>
    </row>
    <row r="3" spans="2:9" x14ac:dyDescent="0.3">
      <c r="B3" s="2" t="s">
        <v>1</v>
      </c>
    </row>
    <row r="5" spans="2:9" x14ac:dyDescent="0.3">
      <c r="B5" s="3" t="s">
        <v>2</v>
      </c>
      <c r="C5" s="4"/>
    </row>
    <row r="6" spans="2:9" x14ac:dyDescent="0.3">
      <c r="B6" s="5" t="s">
        <v>3</v>
      </c>
      <c r="C6" s="6">
        <v>1000</v>
      </c>
      <c r="I6" s="2" t="s">
        <v>4</v>
      </c>
    </row>
    <row r="7" spans="2:9" x14ac:dyDescent="0.3">
      <c r="B7" s="5" t="s">
        <v>5</v>
      </c>
      <c r="C7" s="7">
        <v>0.1</v>
      </c>
    </row>
    <row r="8" spans="2:9" x14ac:dyDescent="0.3">
      <c r="B8" s="5" t="s">
        <v>6</v>
      </c>
      <c r="C8" s="6">
        <v>0</v>
      </c>
    </row>
    <row r="10" spans="2:9" x14ac:dyDescent="0.3">
      <c r="B10" s="3" t="s">
        <v>7</v>
      </c>
      <c r="C10" s="4"/>
    </row>
    <row r="11" spans="2:9" x14ac:dyDescent="0.3">
      <c r="B11" s="5" t="s">
        <v>8</v>
      </c>
      <c r="C11" s="8">
        <v>9.2499999999999999E-2</v>
      </c>
      <c r="I11" s="2" t="s">
        <v>9</v>
      </c>
    </row>
    <row r="12" spans="2:9" x14ac:dyDescent="0.3">
      <c r="B12" s="5" t="s">
        <v>10</v>
      </c>
      <c r="C12" s="8">
        <v>8.7999999999999995E-2</v>
      </c>
      <c r="I12" s="2" t="s">
        <v>11</v>
      </c>
    </row>
    <row r="13" spans="2:9" x14ac:dyDescent="0.3">
      <c r="B13" s="5" t="s">
        <v>12</v>
      </c>
      <c r="C13" s="8">
        <v>0.17699999999999999</v>
      </c>
      <c r="I13" s="2" t="s">
        <v>13</v>
      </c>
    </row>
    <row r="14" spans="2:9" x14ac:dyDescent="0.3">
      <c r="B14" s="5" t="s">
        <v>14</v>
      </c>
      <c r="C14" s="8">
        <v>0.18</v>
      </c>
      <c r="I14" s="2" t="s">
        <v>15</v>
      </c>
    </row>
    <row r="15" spans="2:9" x14ac:dyDescent="0.3">
      <c r="B15" s="5" t="s">
        <v>16</v>
      </c>
      <c r="C15" s="8">
        <v>1E-3</v>
      </c>
      <c r="I15" s="2" t="s">
        <v>17</v>
      </c>
    </row>
    <row r="17" spans="2:9" x14ac:dyDescent="0.3">
      <c r="B17" s="3" t="s">
        <v>18</v>
      </c>
      <c r="C17" s="4"/>
    </row>
    <row r="18" spans="2:9" x14ac:dyDescent="0.3">
      <c r="B18" s="9" t="s">
        <v>19</v>
      </c>
      <c r="C18" s="10" t="s">
        <v>20</v>
      </c>
      <c r="I18" s="2" t="s">
        <v>21</v>
      </c>
    </row>
    <row r="19" spans="2:9" x14ac:dyDescent="0.3">
      <c r="B19" s="11" t="s">
        <v>22</v>
      </c>
      <c r="C19" s="12">
        <f>IF($C$18="Tese do Fisco (INCLUI)",1,0)</f>
        <v>1</v>
      </c>
    </row>
    <row r="22" spans="2:9" x14ac:dyDescent="0.3">
      <c r="B22" s="3" t="s">
        <v>23</v>
      </c>
      <c r="C22" s="4"/>
      <c r="D22" s="4"/>
      <c r="E22" s="4"/>
      <c r="F22" s="4"/>
      <c r="G22" s="4"/>
      <c r="H22" s="4"/>
    </row>
    <row r="23" spans="2:9" ht="30" customHeight="1" x14ac:dyDescent="0.3">
      <c r="B23" s="13" t="s">
        <v>24</v>
      </c>
      <c r="C23" s="13" t="s">
        <v>25</v>
      </c>
      <c r="D23" s="13" t="s">
        <v>26</v>
      </c>
      <c r="E23" s="13" t="s">
        <v>27</v>
      </c>
      <c r="F23" s="13" t="s">
        <v>28</v>
      </c>
      <c r="G23" s="13" t="s">
        <v>29</v>
      </c>
      <c r="H23" s="13" t="s">
        <v>30</v>
      </c>
    </row>
    <row r="24" spans="2:9" x14ac:dyDescent="0.3">
      <c r="B24" s="14" t="s">
        <v>31</v>
      </c>
      <c r="C24" s="15">
        <f>$C$11</f>
        <v>9.2499999999999999E-2</v>
      </c>
      <c r="D24" s="15">
        <v>0</v>
      </c>
      <c r="E24" s="15">
        <v>0</v>
      </c>
      <c r="F24" s="16">
        <v>1</v>
      </c>
      <c r="G24" s="17">
        <v>0</v>
      </c>
      <c r="H24" s="17">
        <v>0</v>
      </c>
    </row>
    <row r="25" spans="2:9" x14ac:dyDescent="0.3">
      <c r="B25" s="14" t="s">
        <v>32</v>
      </c>
      <c r="C25" s="15">
        <f>$C$11</f>
        <v>9.2499999999999999E-2</v>
      </c>
      <c r="D25" s="15">
        <v>8.9999999999999993E-3</v>
      </c>
      <c r="E25" s="15">
        <v>1E-3</v>
      </c>
      <c r="F25" s="16">
        <v>1</v>
      </c>
      <c r="G25" s="17">
        <v>0</v>
      </c>
      <c r="H25" s="17">
        <v>0</v>
      </c>
    </row>
    <row r="26" spans="2:9" x14ac:dyDescent="0.3">
      <c r="B26" s="14" t="s">
        <v>33</v>
      </c>
      <c r="C26" s="15">
        <v>0</v>
      </c>
      <c r="D26" s="15">
        <f>$C$12-$C$15</f>
        <v>8.6999999999999994E-2</v>
      </c>
      <c r="E26" s="15">
        <v>1E-3</v>
      </c>
      <c r="F26" s="16">
        <v>1</v>
      </c>
      <c r="G26" s="17">
        <v>1</v>
      </c>
      <c r="H26" s="17">
        <v>1</v>
      </c>
    </row>
    <row r="27" spans="2:9" x14ac:dyDescent="0.3">
      <c r="B27" s="14" t="s">
        <v>34</v>
      </c>
      <c r="C27" s="15">
        <v>0</v>
      </c>
      <c r="D27" s="15">
        <f>$C$12-$C$15</f>
        <v>8.6999999999999994E-2</v>
      </c>
      <c r="E27" s="15">
        <v>1E-3</v>
      </c>
      <c r="F27" s="16">
        <v>1</v>
      </c>
      <c r="G27" s="17">
        <v>1</v>
      </c>
      <c r="H27" s="17">
        <v>1</v>
      </c>
    </row>
    <row r="28" spans="2:9" x14ac:dyDescent="0.3">
      <c r="B28" s="14" t="s">
        <v>35</v>
      </c>
      <c r="C28" s="15">
        <v>0</v>
      </c>
      <c r="D28" s="15">
        <f>$C$12</f>
        <v>8.7999999999999995E-2</v>
      </c>
      <c r="E28" s="15">
        <f>$C$13*0.1</f>
        <v>1.77E-2</v>
      </c>
      <c r="F28" s="16">
        <v>0.9</v>
      </c>
      <c r="G28" s="17">
        <v>1</v>
      </c>
      <c r="H28" s="17">
        <v>1</v>
      </c>
    </row>
    <row r="29" spans="2:9" x14ac:dyDescent="0.3">
      <c r="B29" s="14" t="s">
        <v>36</v>
      </c>
      <c r="C29" s="15">
        <v>0</v>
      </c>
      <c r="D29" s="15">
        <f>$C$12</f>
        <v>8.7999999999999995E-2</v>
      </c>
      <c r="E29" s="15">
        <f>$C$13*0.2</f>
        <v>3.5400000000000001E-2</v>
      </c>
      <c r="F29" s="16">
        <v>0.8</v>
      </c>
      <c r="G29" s="17">
        <v>1</v>
      </c>
      <c r="H29" s="17">
        <v>1</v>
      </c>
    </row>
    <row r="30" spans="2:9" x14ac:dyDescent="0.3">
      <c r="B30" s="14" t="s">
        <v>37</v>
      </c>
      <c r="C30" s="15">
        <v>0</v>
      </c>
      <c r="D30" s="15">
        <f>$C$12</f>
        <v>8.7999999999999995E-2</v>
      </c>
      <c r="E30" s="15">
        <f>$C$13*0.3</f>
        <v>5.3099999999999994E-2</v>
      </c>
      <c r="F30" s="16">
        <v>0.7</v>
      </c>
      <c r="G30" s="17">
        <v>1</v>
      </c>
      <c r="H30" s="17">
        <v>1</v>
      </c>
    </row>
    <row r="31" spans="2:9" x14ac:dyDescent="0.3">
      <c r="B31" s="14" t="s">
        <v>38</v>
      </c>
      <c r="C31" s="15">
        <v>0</v>
      </c>
      <c r="D31" s="15">
        <f>$C$12</f>
        <v>8.7999999999999995E-2</v>
      </c>
      <c r="E31" s="15">
        <f>$C$13*0.4</f>
        <v>7.0800000000000002E-2</v>
      </c>
      <c r="F31" s="16">
        <v>0.6</v>
      </c>
      <c r="G31" s="17">
        <v>1</v>
      </c>
      <c r="H31" s="17">
        <v>1</v>
      </c>
    </row>
    <row r="32" spans="2:9" x14ac:dyDescent="0.3">
      <c r="B32" s="14" t="s">
        <v>39</v>
      </c>
      <c r="C32" s="15">
        <v>0</v>
      </c>
      <c r="D32" s="15">
        <f>$C$12</f>
        <v>8.7999999999999995E-2</v>
      </c>
      <c r="E32" s="15">
        <f>$C$13</f>
        <v>0.17699999999999999</v>
      </c>
      <c r="F32" s="16">
        <v>0</v>
      </c>
      <c r="G32" s="17">
        <v>1</v>
      </c>
      <c r="H32" s="17">
        <v>0</v>
      </c>
    </row>
    <row r="34" spans="2:2" x14ac:dyDescent="0.3">
      <c r="B34" s="18" t="s">
        <v>40</v>
      </c>
    </row>
    <row r="35" spans="2:2" x14ac:dyDescent="0.3">
      <c r="B35" s="2" t="s">
        <v>41</v>
      </c>
    </row>
    <row r="36" spans="2:2" x14ac:dyDescent="0.3">
      <c r="B36" s="2" t="s">
        <v>42</v>
      </c>
    </row>
  </sheetData>
  <dataValidations count="1">
    <dataValidation type="list" sqref="C18" xr:uid="{00000000-0002-0000-0000-000000000000}">
      <formula1>"Tese do Fisco (INCLUI),Tese do Contribuinte (EXCLUI)"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6"/>
  <sheetViews>
    <sheetView showGridLines="0" tabSelected="1" zoomScaleNormal="100" workbookViewId="0">
      <pane xSplit="2" ySplit="5" topLeftCell="C18" activePane="bottomRight" state="frozen"/>
      <selection pane="topRight" activeCell="C1" sqref="C1"/>
      <selection pane="bottomLeft" activeCell="A9" sqref="A9"/>
      <selection pane="bottomRight" activeCell="E29" sqref="E29"/>
    </sheetView>
  </sheetViews>
  <sheetFormatPr defaultColWidth="8.6640625" defaultRowHeight="14.4" x14ac:dyDescent="0.3"/>
  <cols>
    <col min="1" max="1" width="2" customWidth="1"/>
    <col min="2" max="2" width="44" customWidth="1"/>
    <col min="3" max="11" width="14" customWidth="1"/>
  </cols>
  <sheetData>
    <row r="2" spans="2:11" ht="17.25" customHeight="1" x14ac:dyDescent="0.3">
      <c r="B2" s="1" t="s">
        <v>43</v>
      </c>
    </row>
    <row r="3" spans="2:11" x14ac:dyDescent="0.3">
      <c r="B3" s="19" t="str">
        <f>IF(Parâmetros!$C$19=1,"Cenário ativo: IBS e CBS INTEGRAM a base do ICMS (tese do Fisco)","Cenário ativo: IBS e CBS NÃO integram a base do ICMS (tese do contribuinte)")</f>
        <v>Cenário ativo: IBS e CBS INTEGRAM a base do ICMS (tese do Fisco)</v>
      </c>
    </row>
    <row r="5" spans="2:11" ht="24" customHeight="1" x14ac:dyDescent="0.3">
      <c r="B5" s="20" t="s">
        <v>24</v>
      </c>
      <c r="C5" s="21" t="s">
        <v>31</v>
      </c>
      <c r="D5" s="21" t="s">
        <v>32</v>
      </c>
      <c r="E5" s="21" t="s">
        <v>33</v>
      </c>
      <c r="F5" s="21" t="s">
        <v>34</v>
      </c>
      <c r="G5" s="21" t="s">
        <v>35</v>
      </c>
      <c r="H5" s="21" t="s">
        <v>36</v>
      </c>
      <c r="I5" s="21" t="s">
        <v>37</v>
      </c>
      <c r="J5" s="21" t="s">
        <v>38</v>
      </c>
      <c r="K5" s="21" t="s">
        <v>39</v>
      </c>
    </row>
    <row r="6" spans="2:11" x14ac:dyDescent="0.3">
      <c r="B6" s="22" t="s">
        <v>44</v>
      </c>
      <c r="C6" s="23"/>
      <c r="D6" s="23"/>
      <c r="E6" s="23"/>
      <c r="F6" s="23"/>
      <c r="G6" s="23"/>
      <c r="H6" s="23"/>
      <c r="I6" s="23"/>
      <c r="J6" s="23"/>
      <c r="K6" s="23"/>
    </row>
    <row r="7" spans="2:11" x14ac:dyDescent="0.3">
      <c r="B7" s="24" t="s">
        <v>45</v>
      </c>
      <c r="C7" s="25">
        <f>Parâmetros!$C$6</f>
        <v>1000</v>
      </c>
      <c r="D7" s="25">
        <f>Parâmetros!$C$6</f>
        <v>1000</v>
      </c>
      <c r="E7" s="25">
        <f>Parâmetros!$C$6</f>
        <v>1000</v>
      </c>
      <c r="F7" s="25">
        <f>Parâmetros!$C$6</f>
        <v>1000</v>
      </c>
      <c r="G7" s="25">
        <f>Parâmetros!$C$6</f>
        <v>1000</v>
      </c>
      <c r="H7" s="25">
        <f>Parâmetros!$C$6</f>
        <v>1000</v>
      </c>
      <c r="I7" s="25">
        <f>Parâmetros!$C$6</f>
        <v>1000</v>
      </c>
      <c r="J7" s="25">
        <f>Parâmetros!$C$6</f>
        <v>1000</v>
      </c>
      <c r="K7" s="25">
        <f>Parâmetros!$C$6</f>
        <v>1000</v>
      </c>
    </row>
    <row r="8" spans="2:11" x14ac:dyDescent="0.3">
      <c r="B8" s="24" t="s">
        <v>46</v>
      </c>
      <c r="C8" s="26">
        <f>Parâmetros!$C$7</f>
        <v>0.1</v>
      </c>
      <c r="D8" s="26">
        <f>Parâmetros!$C$7</f>
        <v>0.1</v>
      </c>
      <c r="E8" s="26">
        <f>Parâmetros!$C$7</f>
        <v>0.1</v>
      </c>
      <c r="F8" s="26">
        <f>Parâmetros!$C$7</f>
        <v>0.1</v>
      </c>
      <c r="G8" s="26">
        <f>Parâmetros!$C$7</f>
        <v>0.1</v>
      </c>
      <c r="H8" s="26">
        <f>Parâmetros!$C$7</f>
        <v>0.1</v>
      </c>
      <c r="I8" s="26">
        <f>Parâmetros!$C$7</f>
        <v>0.1</v>
      </c>
      <c r="J8" s="26">
        <f>Parâmetros!$C$7</f>
        <v>0.1</v>
      </c>
      <c r="K8" s="26">
        <f>Parâmetros!$C$7</f>
        <v>0.1</v>
      </c>
    </row>
    <row r="9" spans="2:11" x14ac:dyDescent="0.3">
      <c r="B9" s="24" t="s">
        <v>47</v>
      </c>
      <c r="C9" s="25">
        <f>Parâmetros!$C$6*(1+Parâmetros!$C$7)</f>
        <v>1100</v>
      </c>
      <c r="D9" s="25">
        <f>Parâmetros!$C$6*(1+Parâmetros!$C$7)</f>
        <v>1100</v>
      </c>
      <c r="E9" s="25">
        <f>Parâmetros!$C$6*(1+Parâmetros!$C$7)</f>
        <v>1100</v>
      </c>
      <c r="F9" s="25">
        <f>Parâmetros!$C$6*(1+Parâmetros!$C$7)</f>
        <v>1100</v>
      </c>
      <c r="G9" s="25">
        <f>Parâmetros!$C$6*(1+Parâmetros!$C$7)</f>
        <v>1100</v>
      </c>
      <c r="H9" s="25">
        <f>Parâmetros!$C$6*(1+Parâmetros!$C$7)</f>
        <v>1100</v>
      </c>
      <c r="I9" s="25">
        <f>Parâmetros!$C$6*(1+Parâmetros!$C$7)</f>
        <v>1100</v>
      </c>
      <c r="J9" s="25">
        <f>Parâmetros!$C$6*(1+Parâmetros!$C$7)</f>
        <v>1100</v>
      </c>
      <c r="K9" s="25">
        <f>Parâmetros!$C$6*(1+Parâmetros!$C$7)</f>
        <v>1100</v>
      </c>
    </row>
    <row r="10" spans="2:11" x14ac:dyDescent="0.3">
      <c r="B10" s="24" t="s">
        <v>48</v>
      </c>
      <c r="C10" s="25">
        <f>Parâmetros!$C$8</f>
        <v>0</v>
      </c>
      <c r="D10" s="25">
        <f>Parâmetros!$C$8</f>
        <v>0</v>
      </c>
      <c r="E10" s="25">
        <f>Parâmetros!$C$8</f>
        <v>0</v>
      </c>
      <c r="F10" s="25">
        <f>Parâmetros!$C$8</f>
        <v>0</v>
      </c>
      <c r="G10" s="25">
        <f>Parâmetros!$C$8</f>
        <v>0</v>
      </c>
      <c r="H10" s="25">
        <f>Parâmetros!$C$8</f>
        <v>0</v>
      </c>
      <c r="I10" s="25">
        <f>Parâmetros!$C$8</f>
        <v>0</v>
      </c>
      <c r="J10" s="25">
        <f>Parâmetros!$C$8</f>
        <v>0</v>
      </c>
      <c r="K10" s="25">
        <f>Parâmetros!$C$8</f>
        <v>0</v>
      </c>
    </row>
    <row r="11" spans="2:11" x14ac:dyDescent="0.3">
      <c r="B11" s="27" t="s">
        <v>49</v>
      </c>
      <c r="C11" s="28">
        <f t="shared" ref="C11:K11" si="0">C9-C10</f>
        <v>1100</v>
      </c>
      <c r="D11" s="28">
        <f t="shared" si="0"/>
        <v>1100</v>
      </c>
      <c r="E11" s="28">
        <f t="shared" si="0"/>
        <v>1100</v>
      </c>
      <c r="F11" s="28">
        <f t="shared" si="0"/>
        <v>1100</v>
      </c>
      <c r="G11" s="28">
        <f t="shared" si="0"/>
        <v>1100</v>
      </c>
      <c r="H11" s="28">
        <f t="shared" si="0"/>
        <v>1100</v>
      </c>
      <c r="I11" s="28">
        <f t="shared" si="0"/>
        <v>1100</v>
      </c>
      <c r="J11" s="28">
        <f t="shared" si="0"/>
        <v>1100</v>
      </c>
      <c r="K11" s="28">
        <f t="shared" si="0"/>
        <v>1100</v>
      </c>
    </row>
    <row r="13" spans="2:11" x14ac:dyDescent="0.3">
      <c r="B13" s="22" t="s">
        <v>50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2:11" x14ac:dyDescent="0.3">
      <c r="B14" s="24" t="s">
        <v>51</v>
      </c>
      <c r="C14" s="15">
        <f>INDEX(Parâmetros!$C$24:$C$32,MATCH(C$5,Parâmetros!$B$24:$B$32,0))</f>
        <v>9.2499999999999999E-2</v>
      </c>
      <c r="D14" s="15">
        <f>INDEX(Parâmetros!$C$24:$C$32,MATCH(D$5,Parâmetros!$B$24:$B$32,0))</f>
        <v>9.2499999999999999E-2</v>
      </c>
      <c r="E14" s="15">
        <f>INDEX(Parâmetros!$C$24:$C$32,MATCH(E$5,Parâmetros!$B$24:$B$32,0))</f>
        <v>0</v>
      </c>
      <c r="F14" s="15">
        <f>INDEX(Parâmetros!$C$24:$C$32,MATCH(F$5,Parâmetros!$B$24:$B$32,0))</f>
        <v>0</v>
      </c>
      <c r="G14" s="15">
        <f>INDEX(Parâmetros!$C$24:$C$32,MATCH(G$5,Parâmetros!$B$24:$B$32,0))</f>
        <v>0</v>
      </c>
      <c r="H14" s="15">
        <f>INDEX(Parâmetros!$C$24:$C$32,MATCH(H$5,Parâmetros!$B$24:$B$32,0))</f>
        <v>0</v>
      </c>
      <c r="I14" s="15">
        <f>INDEX(Parâmetros!$C$24:$C$32,MATCH(I$5,Parâmetros!$B$24:$B$32,0))</f>
        <v>0</v>
      </c>
      <c r="J14" s="15">
        <f>INDEX(Parâmetros!$C$24:$C$32,MATCH(J$5,Parâmetros!$B$24:$B$32,0))</f>
        <v>0</v>
      </c>
      <c r="K14" s="15">
        <f>INDEX(Parâmetros!$C$24:$C$32,MATCH(K$5,Parâmetros!$B$24:$B$32,0))</f>
        <v>0</v>
      </c>
    </row>
    <row r="15" spans="2:11" x14ac:dyDescent="0.3">
      <c r="B15" s="24" t="s">
        <v>52</v>
      </c>
      <c r="C15" s="15">
        <f>INDEX(Parâmetros!$D$24:$D$32,MATCH(C$5,Parâmetros!$B$24:$B$32,0))</f>
        <v>0</v>
      </c>
      <c r="D15" s="15">
        <f>INDEX(Parâmetros!$D$24:$D$32,MATCH(D$5,Parâmetros!$B$24:$B$32,0))</f>
        <v>8.9999999999999993E-3</v>
      </c>
      <c r="E15" s="15">
        <f>INDEX(Parâmetros!$D$24:$D$32,MATCH(E$5,Parâmetros!$B$24:$B$32,0))</f>
        <v>8.6999999999999994E-2</v>
      </c>
      <c r="F15" s="15">
        <f>INDEX(Parâmetros!$D$24:$D$32,MATCH(F$5,Parâmetros!$B$24:$B$32,0))</f>
        <v>8.6999999999999994E-2</v>
      </c>
      <c r="G15" s="15">
        <f>INDEX(Parâmetros!$D$24:$D$32,MATCH(G$5,Parâmetros!$B$24:$B$32,0))</f>
        <v>8.7999999999999995E-2</v>
      </c>
      <c r="H15" s="15">
        <f>INDEX(Parâmetros!$D$24:$D$32,MATCH(H$5,Parâmetros!$B$24:$B$32,0))</f>
        <v>8.7999999999999995E-2</v>
      </c>
      <c r="I15" s="15">
        <f>INDEX(Parâmetros!$D$24:$D$32,MATCH(I$5,Parâmetros!$B$24:$B$32,0))</f>
        <v>8.7999999999999995E-2</v>
      </c>
      <c r="J15" s="15">
        <f>INDEX(Parâmetros!$D$24:$D$32,MATCH(J$5,Parâmetros!$B$24:$B$32,0))</f>
        <v>8.7999999999999995E-2</v>
      </c>
      <c r="K15" s="15">
        <f>INDEX(Parâmetros!$D$24:$D$32,MATCH(K$5,Parâmetros!$B$24:$B$32,0))</f>
        <v>8.7999999999999995E-2</v>
      </c>
    </row>
    <row r="16" spans="2:11" x14ac:dyDescent="0.3">
      <c r="B16" s="24" t="s">
        <v>53</v>
      </c>
      <c r="C16" s="15">
        <f>INDEX(Parâmetros!$E$24:$E$32,MATCH(C$5,Parâmetros!$B$24:$B$32,0))</f>
        <v>0</v>
      </c>
      <c r="D16" s="15">
        <f>INDEX(Parâmetros!$E$24:$E$32,MATCH(D$5,Parâmetros!$B$24:$B$32,0))</f>
        <v>1E-3</v>
      </c>
      <c r="E16" s="15">
        <f>INDEX(Parâmetros!$E$24:$E$32,MATCH(E$5,Parâmetros!$B$24:$B$32,0))</f>
        <v>1E-3</v>
      </c>
      <c r="F16" s="15">
        <f>INDEX(Parâmetros!$E$24:$E$32,MATCH(F$5,Parâmetros!$B$24:$B$32,0))</f>
        <v>1E-3</v>
      </c>
      <c r="G16" s="15">
        <f>INDEX(Parâmetros!$E$24:$E$32,MATCH(G$5,Parâmetros!$B$24:$B$32,0))</f>
        <v>1.77E-2</v>
      </c>
      <c r="H16" s="15">
        <f>INDEX(Parâmetros!$E$24:$E$32,MATCH(H$5,Parâmetros!$B$24:$B$32,0))</f>
        <v>3.5400000000000001E-2</v>
      </c>
      <c r="I16" s="15">
        <f>INDEX(Parâmetros!$E$24:$E$32,MATCH(I$5,Parâmetros!$B$24:$B$32,0))</f>
        <v>5.3099999999999994E-2</v>
      </c>
      <c r="J16" s="15">
        <f>INDEX(Parâmetros!$E$24:$E$32,MATCH(J$5,Parâmetros!$B$24:$B$32,0))</f>
        <v>7.0800000000000002E-2</v>
      </c>
      <c r="K16" s="15">
        <f>INDEX(Parâmetros!$E$24:$E$32,MATCH(K$5,Parâmetros!$B$24:$B$32,0))</f>
        <v>0.17699999999999999</v>
      </c>
    </row>
    <row r="17" spans="2:11" x14ac:dyDescent="0.3">
      <c r="B17" s="24" t="s">
        <v>54</v>
      </c>
      <c r="C17" s="26">
        <f>INDEX(Parâmetros!$F$24:$F$32,MATCH(C$5,Parâmetros!$B$24:$B$32,0))</f>
        <v>1</v>
      </c>
      <c r="D17" s="26">
        <f>INDEX(Parâmetros!$F$24:$F$32,MATCH(D$5,Parâmetros!$B$24:$B$32,0))</f>
        <v>1</v>
      </c>
      <c r="E17" s="26">
        <f>INDEX(Parâmetros!$F$24:$F$32,MATCH(E$5,Parâmetros!$B$24:$B$32,0))</f>
        <v>1</v>
      </c>
      <c r="F17" s="26">
        <f>INDEX(Parâmetros!$F$24:$F$32,MATCH(F$5,Parâmetros!$B$24:$B$32,0))</f>
        <v>1</v>
      </c>
      <c r="G17" s="26">
        <f>INDEX(Parâmetros!$F$24:$F$32,MATCH(G$5,Parâmetros!$B$24:$B$32,0))</f>
        <v>0.9</v>
      </c>
      <c r="H17" s="26">
        <f>INDEX(Parâmetros!$F$24:$F$32,MATCH(H$5,Parâmetros!$B$24:$B$32,0))</f>
        <v>0.8</v>
      </c>
      <c r="I17" s="26">
        <f>INDEX(Parâmetros!$F$24:$F$32,MATCH(I$5,Parâmetros!$B$24:$B$32,0))</f>
        <v>0.7</v>
      </c>
      <c r="J17" s="26">
        <f>INDEX(Parâmetros!$F$24:$F$32,MATCH(J$5,Parâmetros!$B$24:$B$32,0))</f>
        <v>0.6</v>
      </c>
      <c r="K17" s="26">
        <f>INDEX(Parâmetros!$F$24:$F$32,MATCH(K$5,Parâmetros!$B$24:$B$32,0))</f>
        <v>0</v>
      </c>
    </row>
    <row r="18" spans="2:11" x14ac:dyDescent="0.3">
      <c r="B18" s="24" t="s">
        <v>55</v>
      </c>
      <c r="C18" s="15">
        <f>Parâmetros!$C$14*C17</f>
        <v>0.18</v>
      </c>
      <c r="D18" s="15">
        <f>Parâmetros!$C$14*D17</f>
        <v>0.18</v>
      </c>
      <c r="E18" s="15">
        <f>Parâmetros!$C$14*E17</f>
        <v>0.18</v>
      </c>
      <c r="F18" s="15">
        <f>Parâmetros!$C$14*F17</f>
        <v>0.18</v>
      </c>
      <c r="G18" s="15">
        <f>Parâmetros!$C$14*G17</f>
        <v>0.16200000000000001</v>
      </c>
      <c r="H18" s="15">
        <f>Parâmetros!$C$14*H17</f>
        <v>0.14399999999999999</v>
      </c>
      <c r="I18" s="15">
        <f>Parâmetros!$C$14*I17</f>
        <v>0.126</v>
      </c>
      <c r="J18" s="15">
        <f>Parâmetros!$C$14*J17</f>
        <v>0.108</v>
      </c>
      <c r="K18" s="15">
        <f>Parâmetros!$C$14*K17</f>
        <v>0</v>
      </c>
    </row>
    <row r="19" spans="2:11" x14ac:dyDescent="0.3">
      <c r="B19" s="24" t="s">
        <v>56</v>
      </c>
      <c r="C19" s="29">
        <f>INDEX(Parâmetros!$G$24:$G$32,MATCH(C$5,Parâmetros!$B$24:$B$32,0))</f>
        <v>0</v>
      </c>
      <c r="D19" s="29">
        <f>INDEX(Parâmetros!$G$24:$G$32,MATCH(D$5,Parâmetros!$B$24:$B$32,0))</f>
        <v>0</v>
      </c>
      <c r="E19" s="29">
        <f>INDEX(Parâmetros!$G$24:$G$32,MATCH(E$5,Parâmetros!$B$24:$B$32,0))</f>
        <v>1</v>
      </c>
      <c r="F19" s="29">
        <f>INDEX(Parâmetros!$G$24:$G$32,MATCH(F$5,Parâmetros!$B$24:$B$32,0))</f>
        <v>1</v>
      </c>
      <c r="G19" s="29">
        <f>INDEX(Parâmetros!$G$24:$G$32,MATCH(G$5,Parâmetros!$B$24:$B$32,0))</f>
        <v>1</v>
      </c>
      <c r="H19" s="29">
        <f>INDEX(Parâmetros!$G$24:$G$32,MATCH(H$5,Parâmetros!$B$24:$B$32,0))</f>
        <v>1</v>
      </c>
      <c r="I19" s="29">
        <f>INDEX(Parâmetros!$G$24:$G$32,MATCH(I$5,Parâmetros!$B$24:$B$32,0))</f>
        <v>1</v>
      </c>
      <c r="J19" s="29">
        <f>INDEX(Parâmetros!$G$24:$G$32,MATCH(J$5,Parâmetros!$B$24:$B$32,0))</f>
        <v>1</v>
      </c>
      <c r="K19" s="29">
        <f>INDEX(Parâmetros!$G$24:$G$32,MATCH(K$5,Parâmetros!$B$24:$B$32,0))</f>
        <v>1</v>
      </c>
    </row>
    <row r="20" spans="2:11" x14ac:dyDescent="0.3">
      <c r="B20" s="30" t="s">
        <v>57</v>
      </c>
      <c r="C20" s="31">
        <f>INDEX(Parâmetros!$H$24:$H$32,MATCH(C$5,Parâmetros!$B$24:$B$32,0))*Parâmetros!$C$19</f>
        <v>0</v>
      </c>
      <c r="D20" s="31">
        <f>INDEX(Parâmetros!$H$24:$H$32,MATCH(D$5,Parâmetros!$B$24:$B$32,0))*Parâmetros!$C$19</f>
        <v>0</v>
      </c>
      <c r="E20" s="31">
        <f>INDEX(Parâmetros!$H$24:$H$32,MATCH(E$5,Parâmetros!$B$24:$B$32,0))*Parâmetros!$C$19</f>
        <v>1</v>
      </c>
      <c r="F20" s="31">
        <f>INDEX(Parâmetros!$H$24:$H$32,MATCH(F$5,Parâmetros!$B$24:$B$32,0))*Parâmetros!$C$19</f>
        <v>1</v>
      </c>
      <c r="G20" s="31">
        <f>INDEX(Parâmetros!$H$24:$H$32,MATCH(G$5,Parâmetros!$B$24:$B$32,0))*Parâmetros!$C$19</f>
        <v>1</v>
      </c>
      <c r="H20" s="31">
        <f>INDEX(Parâmetros!$H$24:$H$32,MATCH(H$5,Parâmetros!$B$24:$B$32,0))*Parâmetros!$C$19</f>
        <v>1</v>
      </c>
      <c r="I20" s="31">
        <f>INDEX(Parâmetros!$H$24:$H$32,MATCH(I$5,Parâmetros!$B$24:$B$32,0))*Parâmetros!$C$19</f>
        <v>1</v>
      </c>
      <c r="J20" s="31">
        <f>INDEX(Parâmetros!$H$24:$H$32,MATCH(J$5,Parâmetros!$B$24:$B$32,0))*Parâmetros!$C$19</f>
        <v>1</v>
      </c>
      <c r="K20" s="31">
        <f>INDEX(Parâmetros!$H$24:$H$32,MATCH(K$5,Parâmetros!$B$24:$B$32,0))*Parâmetros!$C$19</f>
        <v>0</v>
      </c>
    </row>
    <row r="22" spans="2:11" x14ac:dyDescent="0.3">
      <c r="B22" s="22" t="s">
        <v>58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2:11" x14ac:dyDescent="0.3">
      <c r="B23" s="24" t="s">
        <v>59</v>
      </c>
      <c r="C23" s="25">
        <f t="shared" ref="C23:K23" si="1">C11</f>
        <v>1100</v>
      </c>
      <c r="D23" s="25">
        <f t="shared" si="1"/>
        <v>1100</v>
      </c>
      <c r="E23" s="25">
        <f t="shared" si="1"/>
        <v>1100</v>
      </c>
      <c r="F23" s="25">
        <f t="shared" si="1"/>
        <v>1100</v>
      </c>
      <c r="G23" s="25">
        <f t="shared" si="1"/>
        <v>1100</v>
      </c>
      <c r="H23" s="25">
        <f t="shared" si="1"/>
        <v>1100</v>
      </c>
      <c r="I23" s="25">
        <f t="shared" si="1"/>
        <v>1100</v>
      </c>
      <c r="J23" s="25">
        <f t="shared" si="1"/>
        <v>1100</v>
      </c>
      <c r="K23" s="25">
        <f t="shared" si="1"/>
        <v>1100</v>
      </c>
    </row>
    <row r="24" spans="2:11" x14ac:dyDescent="0.3">
      <c r="B24" s="24" t="s">
        <v>60</v>
      </c>
      <c r="C24" s="25">
        <f t="shared" ref="C24:K24" si="2">C23*C15</f>
        <v>0</v>
      </c>
      <c r="D24" s="25">
        <f t="shared" si="2"/>
        <v>9.8999999999999986</v>
      </c>
      <c r="E24" s="25">
        <f t="shared" si="2"/>
        <v>95.699999999999989</v>
      </c>
      <c r="F24" s="25">
        <f t="shared" si="2"/>
        <v>95.699999999999989</v>
      </c>
      <c r="G24" s="25">
        <f t="shared" si="2"/>
        <v>96.8</v>
      </c>
      <c r="H24" s="25">
        <f t="shared" si="2"/>
        <v>96.8</v>
      </c>
      <c r="I24" s="25">
        <f t="shared" si="2"/>
        <v>96.8</v>
      </c>
      <c r="J24" s="25">
        <f t="shared" si="2"/>
        <v>96.8</v>
      </c>
      <c r="K24" s="25">
        <f t="shared" si="2"/>
        <v>96.8</v>
      </c>
    </row>
    <row r="25" spans="2:11" x14ac:dyDescent="0.3">
      <c r="B25" s="24" t="s">
        <v>61</v>
      </c>
      <c r="C25" s="25">
        <f t="shared" ref="C25:K25" si="3">C23*C16</f>
        <v>0</v>
      </c>
      <c r="D25" s="25">
        <f t="shared" si="3"/>
        <v>1.1000000000000001</v>
      </c>
      <c r="E25" s="25">
        <f t="shared" si="3"/>
        <v>1.1000000000000001</v>
      </c>
      <c r="F25" s="25">
        <f t="shared" si="3"/>
        <v>1.1000000000000001</v>
      </c>
      <c r="G25" s="25">
        <f t="shared" si="3"/>
        <v>19.47</v>
      </c>
      <c r="H25" s="25">
        <f t="shared" si="3"/>
        <v>38.94</v>
      </c>
      <c r="I25" s="25">
        <f t="shared" si="3"/>
        <v>58.41</v>
      </c>
      <c r="J25" s="25">
        <f t="shared" si="3"/>
        <v>77.88</v>
      </c>
      <c r="K25" s="25">
        <f t="shared" si="3"/>
        <v>194.7</v>
      </c>
    </row>
    <row r="26" spans="2:11" x14ac:dyDescent="0.3">
      <c r="B26" s="27" t="s">
        <v>62</v>
      </c>
      <c r="C26" s="28">
        <f t="shared" ref="C26:K26" si="4">C24+C25</f>
        <v>0</v>
      </c>
      <c r="D26" s="28">
        <f t="shared" si="4"/>
        <v>10.999999999999998</v>
      </c>
      <c r="E26" s="28">
        <f t="shared" si="4"/>
        <v>96.799999999999983</v>
      </c>
      <c r="F26" s="28">
        <f t="shared" si="4"/>
        <v>96.799999999999983</v>
      </c>
      <c r="G26" s="28">
        <f t="shared" si="4"/>
        <v>116.27</v>
      </c>
      <c r="H26" s="28">
        <f t="shared" si="4"/>
        <v>135.74</v>
      </c>
      <c r="I26" s="28">
        <f t="shared" si="4"/>
        <v>155.20999999999998</v>
      </c>
      <c r="J26" s="28">
        <f t="shared" si="4"/>
        <v>174.68</v>
      </c>
      <c r="K26" s="28">
        <f t="shared" si="4"/>
        <v>291.5</v>
      </c>
    </row>
    <row r="28" spans="2:11" x14ac:dyDescent="0.3">
      <c r="B28" s="22" t="s">
        <v>63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3">
      <c r="B29" s="32" t="s">
        <v>64</v>
      </c>
      <c r="C29" s="33">
        <f t="shared" ref="C29:K29" si="5">(C11/(1-C14)+C18*C20*C26)/(1-C18)</f>
        <v>1478.1966001478197</v>
      </c>
      <c r="D29" s="33">
        <f t="shared" si="5"/>
        <v>1478.1966001478197</v>
      </c>
      <c r="E29" s="33">
        <f t="shared" si="5"/>
        <v>1362.712195121951</v>
      </c>
      <c r="F29" s="33">
        <f t="shared" si="5"/>
        <v>1362.712195121951</v>
      </c>
      <c r="G29" s="33">
        <f t="shared" si="5"/>
        <v>1335.1261813842482</v>
      </c>
      <c r="H29" s="33">
        <f t="shared" si="5"/>
        <v>1307.8814953271028</v>
      </c>
      <c r="I29" s="33">
        <f t="shared" si="5"/>
        <v>1280.9570480549198</v>
      </c>
      <c r="J29" s="33">
        <f t="shared" si="5"/>
        <v>1254.3334529147983</v>
      </c>
      <c r="K29" s="33">
        <f t="shared" si="5"/>
        <v>1100</v>
      </c>
    </row>
    <row r="30" spans="2:11" x14ac:dyDescent="0.3">
      <c r="B30" s="24" t="s">
        <v>65</v>
      </c>
      <c r="C30" s="25">
        <f t="shared" ref="C30:K30" si="6">C29+C20*C26</f>
        <v>1478.1966001478197</v>
      </c>
      <c r="D30" s="25">
        <f t="shared" si="6"/>
        <v>1478.1966001478197</v>
      </c>
      <c r="E30" s="25">
        <f t="shared" si="6"/>
        <v>1459.512195121951</v>
      </c>
      <c r="F30" s="25">
        <f t="shared" si="6"/>
        <v>1459.512195121951</v>
      </c>
      <c r="G30" s="25">
        <f t="shared" si="6"/>
        <v>1451.3961813842482</v>
      </c>
      <c r="H30" s="25">
        <f t="shared" si="6"/>
        <v>1443.6214953271028</v>
      </c>
      <c r="I30" s="25">
        <f t="shared" si="6"/>
        <v>1436.1670480549199</v>
      </c>
      <c r="J30" s="25">
        <f t="shared" si="6"/>
        <v>1429.0134529147983</v>
      </c>
      <c r="K30" s="25">
        <f t="shared" si="6"/>
        <v>1100</v>
      </c>
    </row>
    <row r="31" spans="2:11" x14ac:dyDescent="0.3">
      <c r="B31" s="24" t="s">
        <v>66</v>
      </c>
      <c r="C31" s="25">
        <f t="shared" ref="C31:K31" si="7">C30*C18</f>
        <v>266.07538802660753</v>
      </c>
      <c r="D31" s="25">
        <f t="shared" si="7"/>
        <v>266.07538802660753</v>
      </c>
      <c r="E31" s="25">
        <f t="shared" si="7"/>
        <v>262.71219512195114</v>
      </c>
      <c r="F31" s="25">
        <f t="shared" si="7"/>
        <v>262.71219512195114</v>
      </c>
      <c r="G31" s="25">
        <f t="shared" si="7"/>
        <v>235.12618138424821</v>
      </c>
      <c r="H31" s="25">
        <f t="shared" si="7"/>
        <v>207.88149532710278</v>
      </c>
      <c r="I31" s="25">
        <f t="shared" si="7"/>
        <v>180.95704805491991</v>
      </c>
      <c r="J31" s="25">
        <f t="shared" si="7"/>
        <v>154.33345291479822</v>
      </c>
      <c r="K31" s="25">
        <f t="shared" si="7"/>
        <v>0</v>
      </c>
    </row>
    <row r="32" spans="2:11" x14ac:dyDescent="0.3">
      <c r="B32" s="24" t="s">
        <v>67</v>
      </c>
      <c r="C32" s="25">
        <f t="shared" ref="C32:K32" si="8">C29-C31</f>
        <v>1212.1212121212122</v>
      </c>
      <c r="D32" s="25">
        <f t="shared" si="8"/>
        <v>1212.1212121212122</v>
      </c>
      <c r="E32" s="25">
        <f t="shared" si="8"/>
        <v>1100</v>
      </c>
      <c r="F32" s="25">
        <f t="shared" si="8"/>
        <v>1100</v>
      </c>
      <c r="G32" s="25">
        <f t="shared" si="8"/>
        <v>1100</v>
      </c>
      <c r="H32" s="25">
        <f t="shared" si="8"/>
        <v>1100</v>
      </c>
      <c r="I32" s="25">
        <f t="shared" si="8"/>
        <v>1100</v>
      </c>
      <c r="J32" s="25">
        <f t="shared" si="8"/>
        <v>1100</v>
      </c>
      <c r="K32" s="25">
        <f t="shared" si="8"/>
        <v>1100</v>
      </c>
    </row>
    <row r="33" spans="2:11" x14ac:dyDescent="0.3">
      <c r="B33" s="24" t="s">
        <v>68</v>
      </c>
      <c r="C33" s="25">
        <f t="shared" ref="C33:K33" si="9">C32*C14</f>
        <v>112.12121212121212</v>
      </c>
      <c r="D33" s="25">
        <f t="shared" si="9"/>
        <v>112.12121212121212</v>
      </c>
      <c r="E33" s="25">
        <f t="shared" si="9"/>
        <v>0</v>
      </c>
      <c r="F33" s="25">
        <f t="shared" si="9"/>
        <v>0</v>
      </c>
      <c r="G33" s="25">
        <f t="shared" si="9"/>
        <v>0</v>
      </c>
      <c r="H33" s="25">
        <f t="shared" si="9"/>
        <v>0</v>
      </c>
      <c r="I33" s="25">
        <f t="shared" si="9"/>
        <v>0</v>
      </c>
      <c r="J33" s="25">
        <f t="shared" si="9"/>
        <v>0</v>
      </c>
      <c r="K33" s="25">
        <f t="shared" si="9"/>
        <v>0</v>
      </c>
    </row>
    <row r="35" spans="2:11" x14ac:dyDescent="0.3">
      <c r="B35" s="22" t="s">
        <v>69</v>
      </c>
      <c r="C35" s="23"/>
      <c r="D35" s="23"/>
      <c r="E35" s="23"/>
      <c r="F35" s="23"/>
      <c r="G35" s="23"/>
      <c r="H35" s="23"/>
      <c r="I35" s="23"/>
      <c r="J35" s="23"/>
      <c r="K35" s="23"/>
    </row>
    <row r="36" spans="2:11" x14ac:dyDescent="0.3">
      <c r="B36" s="24" t="s">
        <v>70</v>
      </c>
      <c r="C36" s="25">
        <f t="shared" ref="C36:K36" si="10">C29</f>
        <v>1478.1966001478197</v>
      </c>
      <c r="D36" s="25">
        <f t="shared" si="10"/>
        <v>1478.1966001478197</v>
      </c>
      <c r="E36" s="25">
        <f t="shared" si="10"/>
        <v>1362.712195121951</v>
      </c>
      <c r="F36" s="25">
        <f t="shared" si="10"/>
        <v>1362.712195121951</v>
      </c>
      <c r="G36" s="25">
        <f t="shared" si="10"/>
        <v>1335.1261813842482</v>
      </c>
      <c r="H36" s="25">
        <f t="shared" si="10"/>
        <v>1307.8814953271028</v>
      </c>
      <c r="I36" s="25">
        <f t="shared" si="10"/>
        <v>1280.9570480549198</v>
      </c>
      <c r="J36" s="25">
        <f t="shared" si="10"/>
        <v>1254.3334529147983</v>
      </c>
      <c r="K36" s="25">
        <f t="shared" si="10"/>
        <v>1100</v>
      </c>
    </row>
    <row r="37" spans="2:11" x14ac:dyDescent="0.3">
      <c r="B37" s="34" t="s">
        <v>71</v>
      </c>
      <c r="C37" s="35">
        <f t="shared" ref="C37:K37" si="11">C29+C26*C19</f>
        <v>1478.1966001478197</v>
      </c>
      <c r="D37" s="35">
        <f t="shared" si="11"/>
        <v>1478.1966001478197</v>
      </c>
      <c r="E37" s="35">
        <f t="shared" si="11"/>
        <v>1459.512195121951</v>
      </c>
      <c r="F37" s="35">
        <f t="shared" si="11"/>
        <v>1459.512195121951</v>
      </c>
      <c r="G37" s="35">
        <f t="shared" si="11"/>
        <v>1451.3961813842482</v>
      </c>
      <c r="H37" s="35">
        <f t="shared" si="11"/>
        <v>1443.6214953271028</v>
      </c>
      <c r="I37" s="35">
        <f t="shared" si="11"/>
        <v>1436.1670480549199</v>
      </c>
      <c r="J37" s="35">
        <f t="shared" si="11"/>
        <v>1429.0134529147983</v>
      </c>
      <c r="K37" s="35">
        <f t="shared" si="11"/>
        <v>1391.5</v>
      </c>
    </row>
    <row r="38" spans="2:11" x14ac:dyDescent="0.3">
      <c r="B38" s="32" t="s">
        <v>72</v>
      </c>
      <c r="C38" s="33">
        <f t="shared" ref="C38:K38" si="12">C31+C33+C26*C19</f>
        <v>378.19660014781965</v>
      </c>
      <c r="D38" s="33">
        <f t="shared" si="12"/>
        <v>378.19660014781965</v>
      </c>
      <c r="E38" s="33">
        <f t="shared" si="12"/>
        <v>359.51219512195109</v>
      </c>
      <c r="F38" s="33">
        <f t="shared" si="12"/>
        <v>359.51219512195109</v>
      </c>
      <c r="G38" s="33">
        <f t="shared" si="12"/>
        <v>351.39618138424822</v>
      </c>
      <c r="H38" s="33">
        <f t="shared" si="12"/>
        <v>343.62149532710282</v>
      </c>
      <c r="I38" s="33">
        <f t="shared" si="12"/>
        <v>336.16704805491986</v>
      </c>
      <c r="J38" s="33">
        <f t="shared" si="12"/>
        <v>329.01345291479822</v>
      </c>
      <c r="K38" s="33">
        <f t="shared" si="12"/>
        <v>291.5</v>
      </c>
    </row>
    <row r="39" spans="2:11" x14ac:dyDescent="0.3">
      <c r="B39" s="32" t="s">
        <v>73</v>
      </c>
      <c r="C39" s="36">
        <f t="shared" ref="C39:K39" si="13">IFERROR(C38/C37,0)</f>
        <v>0.25584999999999997</v>
      </c>
      <c r="D39" s="36">
        <f t="shared" si="13"/>
        <v>0.25584999999999997</v>
      </c>
      <c r="E39" s="36">
        <f t="shared" si="13"/>
        <v>0.24632352941176466</v>
      </c>
      <c r="F39" s="36">
        <f t="shared" si="13"/>
        <v>0.24632352941176466</v>
      </c>
      <c r="G39" s="36">
        <f t="shared" si="13"/>
        <v>0.24210907117663019</v>
      </c>
      <c r="H39" s="36">
        <f t="shared" si="13"/>
        <v>0.23802741677051809</v>
      </c>
      <c r="I39" s="36">
        <f t="shared" si="13"/>
        <v>0.23407238629392688</v>
      </c>
      <c r="J39" s="36">
        <f t="shared" si="13"/>
        <v>0.23023817742492234</v>
      </c>
      <c r="K39" s="36">
        <f t="shared" si="13"/>
        <v>0.20948616600790515</v>
      </c>
    </row>
    <row r="40" spans="2:11" x14ac:dyDescent="0.3">
      <c r="B40" s="24" t="s">
        <v>74</v>
      </c>
      <c r="C40" s="15">
        <f t="shared" ref="C40:K40" si="14">IFERROR(C38/C11,0)</f>
        <v>0.34381509104347241</v>
      </c>
      <c r="D40" s="15">
        <f t="shared" si="14"/>
        <v>0.34381509104347241</v>
      </c>
      <c r="E40" s="15">
        <f t="shared" si="14"/>
        <v>0.32682926829268283</v>
      </c>
      <c r="F40" s="15">
        <f t="shared" si="14"/>
        <v>0.32682926829268283</v>
      </c>
      <c r="G40" s="15">
        <f t="shared" si="14"/>
        <v>0.31945107398568018</v>
      </c>
      <c r="H40" s="15">
        <f t="shared" si="14"/>
        <v>0.31238317757009348</v>
      </c>
      <c r="I40" s="15">
        <f t="shared" si="14"/>
        <v>0.30560640732265443</v>
      </c>
      <c r="J40" s="15">
        <f t="shared" si="14"/>
        <v>0.29910313901345292</v>
      </c>
      <c r="K40" s="15">
        <f t="shared" si="14"/>
        <v>0.26500000000000001</v>
      </c>
    </row>
    <row r="41" spans="2:11" x14ac:dyDescent="0.3">
      <c r="B41" s="37" t="s">
        <v>75</v>
      </c>
      <c r="C41" s="38">
        <f t="shared" ref="C41:K41" si="15">C37-$C$37</f>
        <v>0</v>
      </c>
      <c r="D41" s="38">
        <f t="shared" si="15"/>
        <v>0</v>
      </c>
      <c r="E41" s="38">
        <f t="shared" si="15"/>
        <v>-18.684405025868728</v>
      </c>
      <c r="F41" s="38">
        <f t="shared" si="15"/>
        <v>-18.684405025868728</v>
      </c>
      <c r="G41" s="38">
        <f t="shared" si="15"/>
        <v>-26.800418763571543</v>
      </c>
      <c r="H41" s="38">
        <f t="shared" si="15"/>
        <v>-34.575104820716888</v>
      </c>
      <c r="I41" s="38">
        <f t="shared" si="15"/>
        <v>-42.029552092899849</v>
      </c>
      <c r="J41" s="38">
        <f t="shared" si="15"/>
        <v>-49.183147233021373</v>
      </c>
      <c r="K41" s="38">
        <f t="shared" si="15"/>
        <v>-86.696600147819709</v>
      </c>
    </row>
    <row r="42" spans="2:11" x14ac:dyDescent="0.3">
      <c r="B42" s="37" t="s">
        <v>76</v>
      </c>
      <c r="C42" s="39">
        <f t="shared" ref="C42:K42" si="16">IFERROR(C37/$C$37-1,0)</f>
        <v>0</v>
      </c>
      <c r="D42" s="39">
        <f t="shared" si="16"/>
        <v>0</v>
      </c>
      <c r="E42" s="39">
        <f t="shared" si="16"/>
        <v>-1.2640000000000207E-2</v>
      </c>
      <c r="F42" s="39">
        <f t="shared" si="16"/>
        <v>-1.2640000000000207E-2</v>
      </c>
      <c r="G42" s="39">
        <f t="shared" si="16"/>
        <v>-1.8130483293556154E-2</v>
      </c>
      <c r="H42" s="39">
        <f t="shared" si="16"/>
        <v>-2.3390058411214998E-2</v>
      </c>
      <c r="I42" s="39">
        <f t="shared" si="16"/>
        <v>-2.8432991990846701E-2</v>
      </c>
      <c r="J42" s="39">
        <f t="shared" si="16"/>
        <v>-3.327239910313895E-2</v>
      </c>
      <c r="K42" s="39">
        <f t="shared" si="16"/>
        <v>-5.8650250000000015E-2</v>
      </c>
    </row>
    <row r="44" spans="2:11" x14ac:dyDescent="0.3">
      <c r="B44" s="22" t="s">
        <v>77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x14ac:dyDescent="0.3">
      <c r="B45" s="24" t="s">
        <v>78</v>
      </c>
      <c r="C45" s="25">
        <f t="shared" ref="C45:K45" si="17">C37-C31-C33-C26*C19</f>
        <v>1100</v>
      </c>
      <c r="D45" s="25">
        <f t="shared" si="17"/>
        <v>1100</v>
      </c>
      <c r="E45" s="25">
        <f t="shared" si="17"/>
        <v>1099.9999999999998</v>
      </c>
      <c r="F45" s="25">
        <f t="shared" si="17"/>
        <v>1099.9999999999998</v>
      </c>
      <c r="G45" s="25">
        <f t="shared" si="17"/>
        <v>1100</v>
      </c>
      <c r="H45" s="25">
        <f t="shared" si="17"/>
        <v>1100</v>
      </c>
      <c r="I45" s="25">
        <f t="shared" si="17"/>
        <v>1100</v>
      </c>
      <c r="J45" s="25">
        <f t="shared" si="17"/>
        <v>1100</v>
      </c>
      <c r="K45" s="25">
        <f t="shared" si="17"/>
        <v>1100</v>
      </c>
    </row>
    <row r="46" spans="2:11" x14ac:dyDescent="0.3">
      <c r="B46" s="32" t="s">
        <v>79</v>
      </c>
      <c r="C46" s="33">
        <f t="shared" ref="C46:K46" si="18">C45-C11</f>
        <v>0</v>
      </c>
      <c r="D46" s="33">
        <f t="shared" si="18"/>
        <v>0</v>
      </c>
      <c r="E46" s="33">
        <f t="shared" si="18"/>
        <v>0</v>
      </c>
      <c r="F46" s="33">
        <f t="shared" si="18"/>
        <v>0</v>
      </c>
      <c r="G46" s="33">
        <f t="shared" si="18"/>
        <v>0</v>
      </c>
      <c r="H46" s="33">
        <f t="shared" si="18"/>
        <v>0</v>
      </c>
      <c r="I46" s="33">
        <f t="shared" si="18"/>
        <v>0</v>
      </c>
      <c r="J46" s="33">
        <f t="shared" si="18"/>
        <v>0</v>
      </c>
      <c r="K46" s="33">
        <f t="shared" si="18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6" sqref="E16"/>
    </sheetView>
  </sheetViews>
  <sheetFormatPr defaultColWidth="8.6640625" defaultRowHeight="14.4" x14ac:dyDescent="0.3"/>
  <cols>
    <col min="1" max="1" width="2" customWidth="1"/>
    <col min="2" max="2" width="44" customWidth="1"/>
    <col min="3" max="11" width="14" customWidth="1"/>
  </cols>
  <sheetData>
    <row r="2" spans="2:11" ht="17.25" customHeight="1" x14ac:dyDescent="0.3">
      <c r="B2" s="1" t="s">
        <v>80</v>
      </c>
    </row>
    <row r="3" spans="2:11" x14ac:dyDescent="0.3">
      <c r="B3" s="2" t="s">
        <v>81</v>
      </c>
    </row>
    <row r="5" spans="2:11" ht="24" customHeight="1" x14ac:dyDescent="0.3">
      <c r="B5" s="20" t="s">
        <v>24</v>
      </c>
      <c r="C5" s="21" t="s">
        <v>31</v>
      </c>
      <c r="D5" s="21" t="s">
        <v>32</v>
      </c>
      <c r="E5" s="21" t="s">
        <v>33</v>
      </c>
      <c r="F5" s="21" t="s">
        <v>34</v>
      </c>
      <c r="G5" s="21" t="s">
        <v>35</v>
      </c>
      <c r="H5" s="21" t="s">
        <v>36</v>
      </c>
      <c r="I5" s="21" t="s">
        <v>37</v>
      </c>
      <c r="J5" s="21" t="s">
        <v>38</v>
      </c>
      <c r="K5" s="21" t="s">
        <v>39</v>
      </c>
    </row>
    <row r="6" spans="2:11" x14ac:dyDescent="0.3">
      <c r="B6" s="22" t="s">
        <v>82</v>
      </c>
      <c r="C6" s="23"/>
      <c r="D6" s="23"/>
      <c r="E6" s="23"/>
      <c r="F6" s="23"/>
      <c r="G6" s="23"/>
      <c r="H6" s="23"/>
      <c r="I6" s="23"/>
      <c r="J6" s="23"/>
      <c r="K6" s="23"/>
    </row>
    <row r="8" spans="2:11" x14ac:dyDescent="0.3">
      <c r="B8" s="24" t="s">
        <v>83</v>
      </c>
      <c r="C8" s="29">
        <f>INDEX(Parâmetros!$H$24:$H$32,MATCH(C$5,Parâmetros!$B$24:$B$32,0))</f>
        <v>0</v>
      </c>
      <c r="D8" s="29">
        <f>INDEX(Parâmetros!$H$24:$H$32,MATCH(D$5,Parâmetros!$B$24:$B$32,0))</f>
        <v>0</v>
      </c>
      <c r="E8" s="29">
        <f>INDEX(Parâmetros!$H$24:$H$32,MATCH(E$5,Parâmetros!$B$24:$B$32,0))</f>
        <v>1</v>
      </c>
      <c r="F8" s="29">
        <f>INDEX(Parâmetros!$H$24:$H$32,MATCH(F$5,Parâmetros!$B$24:$B$32,0))</f>
        <v>1</v>
      </c>
      <c r="G8" s="29">
        <f>INDEX(Parâmetros!$H$24:$H$32,MATCH(G$5,Parâmetros!$B$24:$B$32,0))</f>
        <v>1</v>
      </c>
      <c r="H8" s="29">
        <f>INDEX(Parâmetros!$H$24:$H$32,MATCH(H$5,Parâmetros!$B$24:$B$32,0))</f>
        <v>1</v>
      </c>
      <c r="I8" s="29">
        <f>INDEX(Parâmetros!$H$24:$H$32,MATCH(I$5,Parâmetros!$B$24:$B$32,0))</f>
        <v>1</v>
      </c>
      <c r="J8" s="29">
        <f>INDEX(Parâmetros!$H$24:$H$32,MATCH(J$5,Parâmetros!$B$24:$B$32,0))</f>
        <v>1</v>
      </c>
      <c r="K8" s="29">
        <f>INDEX(Parâmetros!$H$24:$H$32,MATCH(K$5,Parâmetros!$B$24:$B$32,0))</f>
        <v>0</v>
      </c>
    </row>
    <row r="9" spans="2:11" x14ac:dyDescent="0.3">
      <c r="B9" s="24" t="s">
        <v>84</v>
      </c>
      <c r="C9" s="25">
        <f>(Cenários!C11/(1-Cenários!C14)+Cenários!C18*C8*Cenários!C26)/(1-Cenários!C18)</f>
        <v>1478.1966001478197</v>
      </c>
      <c r="D9" s="25">
        <f>(Cenários!D11/(1-Cenários!D14)+Cenários!D18*D8*Cenários!D26)/(1-Cenários!D18)</f>
        <v>1478.1966001478197</v>
      </c>
      <c r="E9" s="25">
        <f>(Cenários!E11/(1-Cenários!E14)+Cenários!E18*E8*Cenários!E26)/(1-Cenários!E18)</f>
        <v>1362.712195121951</v>
      </c>
      <c r="F9" s="25">
        <f>(Cenários!F11/(1-Cenários!F14)+Cenários!F18*F8*Cenários!F26)/(1-Cenários!F18)</f>
        <v>1362.712195121951</v>
      </c>
      <c r="G9" s="25">
        <f>(Cenários!G11/(1-Cenários!G14)+Cenários!G18*G8*Cenários!G26)/(1-Cenários!G18)</f>
        <v>1335.1261813842482</v>
      </c>
      <c r="H9" s="25">
        <f>(Cenários!H11/(1-Cenários!H14)+Cenários!H18*H8*Cenários!H26)/(1-Cenários!H18)</f>
        <v>1307.8814953271028</v>
      </c>
      <c r="I9" s="25">
        <f>(Cenários!I11/(1-Cenários!I14)+Cenários!I18*I8*Cenários!I26)/(1-Cenários!I18)</f>
        <v>1280.9570480549198</v>
      </c>
      <c r="J9" s="25">
        <f>(Cenários!J11/(1-Cenários!J14)+Cenários!J18*J8*Cenários!J26)/(1-Cenários!J18)</f>
        <v>1254.3334529147983</v>
      </c>
      <c r="K9" s="25">
        <f>(Cenários!K11/(1-Cenários!K14)+Cenários!K18*K8*Cenários!K26)/(1-Cenários!K18)</f>
        <v>1100</v>
      </c>
    </row>
    <row r="10" spans="2:11" x14ac:dyDescent="0.3">
      <c r="B10" s="24" t="s">
        <v>66</v>
      </c>
      <c r="C10" s="25">
        <f>(C9+C8*Cenários!C26)*Cenários!C18</f>
        <v>266.07538802660753</v>
      </c>
      <c r="D10" s="25">
        <f>(D9+D8*Cenários!D26)*Cenários!D18</f>
        <v>266.07538802660753</v>
      </c>
      <c r="E10" s="25">
        <f>(E9+E8*Cenários!E26)*Cenários!E18</f>
        <v>262.71219512195114</v>
      </c>
      <c r="F10" s="25">
        <f>(F9+F8*Cenários!F26)*Cenários!F18</f>
        <v>262.71219512195114</v>
      </c>
      <c r="G10" s="25">
        <f>(G9+G8*Cenários!G26)*Cenários!G18</f>
        <v>235.12618138424821</v>
      </c>
      <c r="H10" s="25">
        <f>(H9+H8*Cenários!H26)*Cenários!H18</f>
        <v>207.88149532710278</v>
      </c>
      <c r="I10" s="25">
        <f>(I9+I8*Cenários!I26)*Cenários!I18</f>
        <v>180.95704805491991</v>
      </c>
      <c r="J10" s="25">
        <f>(J9+J8*Cenários!J26)*Cenários!J18</f>
        <v>154.33345291479822</v>
      </c>
      <c r="K10" s="25">
        <f>(K9+K8*Cenários!K26)*Cenários!K18</f>
        <v>0</v>
      </c>
    </row>
    <row r="11" spans="2:11" x14ac:dyDescent="0.3">
      <c r="B11" s="32" t="s">
        <v>85</v>
      </c>
      <c r="C11" s="33">
        <f>C9+Cenários!C26*Cenários!C19</f>
        <v>1478.1966001478197</v>
      </c>
      <c r="D11" s="33">
        <f>D9+Cenários!D26*Cenários!D19</f>
        <v>1478.1966001478197</v>
      </c>
      <c r="E11" s="33">
        <f>E9+Cenários!E26*Cenários!E19</f>
        <v>1459.512195121951</v>
      </c>
      <c r="F11" s="33">
        <f>F9+Cenários!F26*Cenários!F19</f>
        <v>1459.512195121951</v>
      </c>
      <c r="G11" s="33">
        <f>G9+Cenários!G26*Cenários!G19</f>
        <v>1451.3961813842482</v>
      </c>
      <c r="H11" s="33">
        <f>H9+Cenários!H26*Cenários!H19</f>
        <v>1443.6214953271028</v>
      </c>
      <c r="I11" s="33">
        <f>I9+Cenários!I26*Cenários!I19</f>
        <v>1436.1670480549199</v>
      </c>
      <c r="J11" s="33">
        <f>J9+Cenários!J26*Cenários!J19</f>
        <v>1429.0134529147983</v>
      </c>
      <c r="K11" s="33">
        <f>K9+Cenários!K26*Cenários!K19</f>
        <v>1391.5</v>
      </c>
    </row>
    <row r="13" spans="2:11" x14ac:dyDescent="0.3">
      <c r="B13" s="22" t="s">
        <v>86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2:11" x14ac:dyDescent="0.3">
      <c r="B14" s="24" t="s">
        <v>84</v>
      </c>
      <c r="C14" s="25">
        <f>(Cenários!C11/(1-Cenários!C14))/(1-Cenários!C18)</f>
        <v>1478.1966001478197</v>
      </c>
      <c r="D14" s="25">
        <f>(Cenários!D11/(1-Cenários!D14))/(1-Cenários!D18)</f>
        <v>1478.1966001478197</v>
      </c>
      <c r="E14" s="25">
        <f>(Cenários!E11/(1-Cenários!E14))/(1-Cenários!E18)</f>
        <v>1341.4634146341461</v>
      </c>
      <c r="F14" s="25">
        <f>(Cenários!F11/(1-Cenários!F14))/(1-Cenários!F18)</f>
        <v>1341.4634146341461</v>
      </c>
      <c r="G14" s="25">
        <f>(Cenários!G11/(1-Cenários!G14))/(1-Cenários!G18)</f>
        <v>1312.6491646778043</v>
      </c>
      <c r="H14" s="25">
        <f>(Cenários!H11/(1-Cenários!H14))/(1-Cenários!H18)</f>
        <v>1285.0467289719627</v>
      </c>
      <c r="I14" s="25">
        <f>(Cenários!I11/(1-Cenários!I14))/(1-Cenários!I18)</f>
        <v>1258.5812356979404</v>
      </c>
      <c r="J14" s="25">
        <f>(Cenários!J11/(1-Cenários!J14))/(1-Cenários!J18)</f>
        <v>1233.1838565022422</v>
      </c>
      <c r="K14" s="25">
        <f>(Cenários!K11/(1-Cenários!K14))/(1-Cenários!K18)</f>
        <v>1100</v>
      </c>
    </row>
    <row r="15" spans="2:11" x14ac:dyDescent="0.3">
      <c r="B15" s="24" t="s">
        <v>66</v>
      </c>
      <c r="C15" s="25">
        <f>C14*Cenários!C18</f>
        <v>266.07538802660753</v>
      </c>
      <c r="D15" s="25">
        <f>D14*Cenários!D18</f>
        <v>266.07538802660753</v>
      </c>
      <c r="E15" s="25">
        <f>E14*Cenários!E18</f>
        <v>241.46341463414629</v>
      </c>
      <c r="F15" s="25">
        <f>F14*Cenários!F18</f>
        <v>241.46341463414629</v>
      </c>
      <c r="G15" s="25">
        <f>G14*Cenários!G18</f>
        <v>212.64916467780429</v>
      </c>
      <c r="H15" s="25">
        <f>H14*Cenários!H18</f>
        <v>185.04672897196261</v>
      </c>
      <c r="I15" s="25">
        <f>I14*Cenários!I18</f>
        <v>158.58123569794049</v>
      </c>
      <c r="J15" s="25">
        <f>J14*Cenários!J18</f>
        <v>133.18385650224215</v>
      </c>
      <c r="K15" s="25">
        <f>K14*Cenários!K18</f>
        <v>0</v>
      </c>
    </row>
    <row r="16" spans="2:11" x14ac:dyDescent="0.3">
      <c r="B16" s="32" t="s">
        <v>85</v>
      </c>
      <c r="C16" s="33">
        <f>C14+Cenários!C26*Cenários!C19</f>
        <v>1478.1966001478197</v>
      </c>
      <c r="D16" s="33">
        <f>D14+Cenários!D26*Cenários!D19</f>
        <v>1478.1966001478197</v>
      </c>
      <c r="E16" s="33">
        <f>E14+Cenários!E26*Cenários!E19</f>
        <v>1438.2634146341461</v>
      </c>
      <c r="F16" s="33">
        <f>F14+Cenários!F26*Cenários!F19</f>
        <v>1438.2634146341461</v>
      </c>
      <c r="G16" s="33">
        <f>G14+Cenários!G26*Cenários!G19</f>
        <v>1428.9191646778042</v>
      </c>
      <c r="H16" s="33">
        <f>H14+Cenários!H26*Cenários!H19</f>
        <v>1420.7867289719627</v>
      </c>
      <c r="I16" s="33">
        <f>I14+Cenários!I26*Cenários!I19</f>
        <v>1413.7912356979405</v>
      </c>
      <c r="J16" s="33">
        <f>J14+Cenários!J26*Cenários!J19</f>
        <v>1407.8638565022422</v>
      </c>
      <c r="K16" s="33">
        <f>K14+Cenários!K26*Cenários!K19</f>
        <v>1391.5</v>
      </c>
    </row>
    <row r="18" spans="2:11" x14ac:dyDescent="0.3">
      <c r="B18" s="22" t="s">
        <v>87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2:11" x14ac:dyDescent="0.3">
      <c r="B19" s="37" t="s">
        <v>88</v>
      </c>
      <c r="C19" s="38">
        <f t="shared" ref="C19:K19" si="0">C10-C15</f>
        <v>0</v>
      </c>
      <c r="D19" s="38">
        <f t="shared" si="0"/>
        <v>0</v>
      </c>
      <c r="E19" s="38">
        <f t="shared" si="0"/>
        <v>21.248780487804851</v>
      </c>
      <c r="F19" s="38">
        <f t="shared" si="0"/>
        <v>21.248780487804851</v>
      </c>
      <c r="G19" s="38">
        <f t="shared" si="0"/>
        <v>22.477016706443919</v>
      </c>
      <c r="H19" s="38">
        <f t="shared" si="0"/>
        <v>22.834766355140175</v>
      </c>
      <c r="I19" s="38">
        <f t="shared" si="0"/>
        <v>22.375812356979424</v>
      </c>
      <c r="J19" s="38">
        <f t="shared" si="0"/>
        <v>21.149596412556065</v>
      </c>
      <c r="K19" s="38">
        <f t="shared" si="0"/>
        <v>0</v>
      </c>
    </row>
    <row r="20" spans="2:11" x14ac:dyDescent="0.3">
      <c r="B20" s="40" t="s">
        <v>89</v>
      </c>
      <c r="C20" s="41">
        <f t="shared" ref="C20:K20" si="1">C11-C16</f>
        <v>0</v>
      </c>
      <c r="D20" s="41">
        <f t="shared" si="1"/>
        <v>0</v>
      </c>
      <c r="E20" s="41">
        <f t="shared" si="1"/>
        <v>21.248780487804879</v>
      </c>
      <c r="F20" s="41">
        <f t="shared" si="1"/>
        <v>21.248780487804879</v>
      </c>
      <c r="G20" s="41">
        <f t="shared" si="1"/>
        <v>22.477016706443919</v>
      </c>
      <c r="H20" s="41">
        <f t="shared" si="1"/>
        <v>22.834766355140118</v>
      </c>
      <c r="I20" s="41">
        <f t="shared" si="1"/>
        <v>22.375812356979395</v>
      </c>
      <c r="J20" s="41">
        <f t="shared" si="1"/>
        <v>21.149596412556093</v>
      </c>
      <c r="K20" s="41">
        <f t="shared" si="1"/>
        <v>0</v>
      </c>
    </row>
    <row r="21" spans="2:11" x14ac:dyDescent="0.3">
      <c r="B21" s="40" t="s">
        <v>90</v>
      </c>
      <c r="C21" s="42">
        <f t="shared" ref="C21:K21" si="2">IFERROR(C11/C16-1,0)</f>
        <v>0</v>
      </c>
      <c r="D21" s="42">
        <f t="shared" si="2"/>
        <v>0</v>
      </c>
      <c r="E21" s="42">
        <f t="shared" si="2"/>
        <v>1.4773914341143168E-2</v>
      </c>
      <c r="F21" s="42">
        <f t="shared" si="2"/>
        <v>1.4773914341143168E-2</v>
      </c>
      <c r="G21" s="42">
        <f t="shared" si="2"/>
        <v>1.5730082752100305E-2</v>
      </c>
      <c r="H21" s="42">
        <f t="shared" si="2"/>
        <v>1.6071916980574974E-2</v>
      </c>
      <c r="I21" s="42">
        <f t="shared" si="2"/>
        <v>1.5826815014830187E-2</v>
      </c>
      <c r="J21" s="42">
        <f t="shared" si="2"/>
        <v>1.5022472744702142E-2</v>
      </c>
      <c r="K21" s="42">
        <f t="shared" si="2"/>
        <v>0</v>
      </c>
    </row>
    <row r="22" spans="2:11" x14ac:dyDescent="0.3">
      <c r="B22" s="43" t="s">
        <v>91</v>
      </c>
      <c r="C22" s="44">
        <f t="shared" ref="C22:K22" si="3">IFERROR((C11/C16-1)*1000000,0)</f>
        <v>0</v>
      </c>
      <c r="D22" s="44">
        <f t="shared" si="3"/>
        <v>0</v>
      </c>
      <c r="E22" s="44">
        <f t="shared" si="3"/>
        <v>14773.914341143169</v>
      </c>
      <c r="F22" s="44">
        <f t="shared" si="3"/>
        <v>14773.914341143169</v>
      </c>
      <c r="G22" s="44">
        <f t="shared" si="3"/>
        <v>15730.082752100305</v>
      </c>
      <c r="H22" s="44">
        <f t="shared" si="3"/>
        <v>16071.916980574973</v>
      </c>
      <c r="I22" s="44">
        <f t="shared" si="3"/>
        <v>15826.815014830187</v>
      </c>
      <c r="J22" s="44">
        <f t="shared" si="3"/>
        <v>15022.472744702141</v>
      </c>
      <c r="K22" s="44">
        <f t="shared" si="3"/>
        <v>0</v>
      </c>
    </row>
    <row r="24" spans="2:11" x14ac:dyDescent="0.3">
      <c r="B24" s="2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8"/>
  <sheetViews>
    <sheetView showGridLines="0" topLeftCell="A10" zoomScaleNormal="100" workbookViewId="0">
      <selection activeCell="D9" sqref="D9"/>
    </sheetView>
  </sheetViews>
  <sheetFormatPr defaultColWidth="8.6640625" defaultRowHeight="14.4" x14ac:dyDescent="0.3"/>
  <cols>
    <col min="1" max="1" width="2" customWidth="1"/>
    <col min="2" max="2" width="30" customWidth="1"/>
    <col min="3" max="3" width="8" customWidth="1"/>
    <col min="4" max="4" width="110" customWidth="1"/>
  </cols>
  <sheetData>
    <row r="2" spans="2:4" ht="17.25" customHeight="1" x14ac:dyDescent="0.3">
      <c r="B2" s="1" t="s">
        <v>93</v>
      </c>
    </row>
    <row r="3" spans="2:4" x14ac:dyDescent="0.3">
      <c r="B3" s="2" t="s">
        <v>94</v>
      </c>
    </row>
    <row r="5" spans="2:4" x14ac:dyDescent="0.3">
      <c r="B5" s="20" t="s">
        <v>95</v>
      </c>
      <c r="C5" s="20" t="s">
        <v>96</v>
      </c>
      <c r="D5" s="20" t="s">
        <v>97</v>
      </c>
    </row>
    <row r="6" spans="2:4" ht="43.5" customHeight="1" x14ac:dyDescent="0.3">
      <c r="B6" s="45" t="s">
        <v>98</v>
      </c>
      <c r="C6" s="46" t="s">
        <v>99</v>
      </c>
      <c r="D6" s="47" t="s">
        <v>100</v>
      </c>
    </row>
    <row r="7" spans="2:4" ht="30" customHeight="1" x14ac:dyDescent="0.3">
      <c r="B7" s="45" t="s">
        <v>101</v>
      </c>
      <c r="C7" s="46" t="s">
        <v>99</v>
      </c>
      <c r="D7" s="47" t="s">
        <v>102</v>
      </c>
    </row>
    <row r="8" spans="2:4" ht="72" customHeight="1" x14ac:dyDescent="0.3">
      <c r="B8" s="45" t="s">
        <v>103</v>
      </c>
      <c r="C8" s="46" t="s">
        <v>104</v>
      </c>
      <c r="D8" s="47" t="s">
        <v>105</v>
      </c>
    </row>
    <row r="9" spans="2:4" ht="57.75" customHeight="1" x14ac:dyDescent="0.3">
      <c r="B9" s="45" t="s">
        <v>106</v>
      </c>
      <c r="C9" s="46" t="s">
        <v>107</v>
      </c>
      <c r="D9" s="47" t="s">
        <v>108</v>
      </c>
    </row>
    <row r="10" spans="2:4" ht="57.75" customHeight="1" x14ac:dyDescent="0.3">
      <c r="B10" s="45" t="s">
        <v>109</v>
      </c>
      <c r="C10" s="46" t="s">
        <v>99</v>
      </c>
      <c r="D10" s="47" t="s">
        <v>110</v>
      </c>
    </row>
    <row r="11" spans="2:4" ht="43.5" customHeight="1" x14ac:dyDescent="0.3">
      <c r="B11" s="45" t="s">
        <v>111</v>
      </c>
      <c r="C11" s="46" t="s">
        <v>99</v>
      </c>
      <c r="D11" s="47" t="s">
        <v>112</v>
      </c>
    </row>
    <row r="12" spans="2:4" ht="43.5" customHeight="1" x14ac:dyDescent="0.3">
      <c r="B12" s="45" t="s">
        <v>113</v>
      </c>
      <c r="C12" s="46" t="s">
        <v>107</v>
      </c>
      <c r="D12" s="47" t="s">
        <v>114</v>
      </c>
    </row>
    <row r="13" spans="2:4" ht="43.5" customHeight="1" x14ac:dyDescent="0.3">
      <c r="B13" s="45" t="s">
        <v>115</v>
      </c>
      <c r="C13" s="46" t="s">
        <v>107</v>
      </c>
      <c r="D13" s="47" t="s">
        <v>116</v>
      </c>
    </row>
    <row r="14" spans="2:4" ht="57.75" customHeight="1" x14ac:dyDescent="0.3">
      <c r="B14" s="45" t="s">
        <v>117</v>
      </c>
      <c r="C14" s="46" t="s">
        <v>107</v>
      </c>
      <c r="D14" s="47" t="s">
        <v>118</v>
      </c>
    </row>
    <row r="15" spans="2:4" ht="43.5" customHeight="1" x14ac:dyDescent="0.3">
      <c r="B15" s="45" t="s">
        <v>119</v>
      </c>
      <c r="C15" s="46" t="s">
        <v>99</v>
      </c>
      <c r="D15" s="47" t="s">
        <v>120</v>
      </c>
    </row>
    <row r="16" spans="2:4" ht="57.75" customHeight="1" x14ac:dyDescent="0.3">
      <c r="B16" s="45" t="s">
        <v>121</v>
      </c>
      <c r="C16" s="46" t="s">
        <v>99</v>
      </c>
      <c r="D16" s="47" t="s">
        <v>122</v>
      </c>
    </row>
    <row r="18" spans="2:2" x14ac:dyDescent="0.3">
      <c r="B18" s="48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Parâmetros</vt:lpstr>
      <vt:lpstr>Cenários</vt:lpstr>
      <vt:lpstr>Sensibilidade</vt:lpstr>
      <vt:lpstr>Notas técnicas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Donizete Claudino</cp:lastModifiedBy>
  <cp:revision>0</cp:revision>
  <dcterms:created xsi:type="dcterms:W3CDTF">2026-07-19T23:55:12Z</dcterms:created>
  <dcterms:modified xsi:type="dcterms:W3CDTF">2026-07-25T12:12:24Z</dcterms:modified>
  <dc:language>en-US</dc:language>
</cp:coreProperties>
</file>